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ask_Tracker" sheetId="2" state="visible" r:id="rId2"/>
    <sheet xmlns:r="http://schemas.openxmlformats.org/officeDocument/2006/relationships" name="By_Day" sheetId="3" state="visible" r:id="rId3"/>
    <sheet xmlns:r="http://schemas.openxmlformats.org/officeDocument/2006/relationships" name="Gate_Board" sheetId="4" state="visible" r:id="rId4"/>
  </sheets>
  <definedNames>
    <definedName name="_xlnm._FilterDatabase" localSheetId="1" hidden="1">'Task_Tracker'!$A$1:$T$92</definedName>
    <definedName name="_xlnm._FilterDatabase" localSheetId="3" hidden="1">'Gate_Board'!$A$1:$G$11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9"/>
      <sz val="14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1" fillId="2" borderId="0" pivotButton="0" quotePrefix="0" xfId="0"/>
    <xf numFmtId="1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FCE5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AEGIS FDE Day-wise Task Tracker (management)</t>
        </is>
      </c>
    </row>
    <row r="2">
      <c r="A2" t="inlineStr"/>
    </row>
    <row r="3">
      <c r="A3" t="inlineStr">
        <is>
          <t>Source of truth: AEGIS_FDE_DAYWISE_TASK_DISTRIBUTION.md (v1.4) + this workbook.</t>
        </is>
      </c>
    </row>
    <row r="4">
      <c r="A4" t="inlineStr">
        <is>
          <t>Regenerate: python -B submission/artefacts/ProjectPlan/export_daywise_tracker.py</t>
        </is>
      </c>
    </row>
    <row r="5">
      <c r="A5" t="inlineStr"/>
    </row>
    <row r="6">
      <c r="A6" t="inlineStr">
        <is>
          <t>Columns (tracking)</t>
        </is>
      </c>
    </row>
    <row r="7">
      <c r="A7" t="inlineStr">
        <is>
          <t>Date/Day · Module/Workstream · Task · Task Details · Assigned To · Priority · Status ·</t>
        </is>
      </c>
    </row>
    <row r="8">
      <c r="A8" t="inlineStr">
        <is>
          <t>Start / Expected / Actual Completion · Dependencies · Blockers/Remarks · Completion %</t>
        </is>
      </c>
    </row>
    <row r="9">
      <c r="A9" t="inlineStr"/>
    </row>
    <row r="10">
      <c r="A10" t="inlineStr">
        <is>
          <t>Preserved audit columns: Task ID, Reviewer, Gate, FINAL ref, Evaluation criteria, Result, Evidence path</t>
        </is>
      </c>
    </row>
    <row r="11">
      <c r="A11" t="inlineStr"/>
    </row>
    <row r="12">
      <c r="A12" t="inlineStr">
        <is>
          <t>Dropdowns</t>
        </is>
      </c>
    </row>
    <row r="13">
      <c r="A13" t="inlineStr">
        <is>
          <t>Priority: Low | Medium | High | Critical</t>
        </is>
      </c>
    </row>
    <row r="14">
      <c r="A14" t="inlineStr">
        <is>
          <t>Status: Not Started | In Progress | Blocked | Completed | On Hold</t>
        </is>
      </c>
    </row>
    <row r="15">
      <c r="A15" t="inlineStr">
        <is>
          <t>Result: PASS | FAIL | CONDITIONAL | N/A</t>
        </is>
      </c>
    </row>
    <row r="16">
      <c r="A16" t="inlineStr"/>
    </row>
    <row r="17">
      <c r="A17" t="inlineStr">
        <is>
          <t>Formatting</t>
        </is>
      </c>
    </row>
    <row r="18">
      <c r="A18" t="inlineStr">
        <is>
          <t>- Header frozen; filters on; Task + Task Details wrap text</t>
        </is>
      </c>
    </row>
    <row r="19">
      <c r="A19" t="inlineStr">
        <is>
          <t>- Red tint = Blocked; amber tint = Overdue (Expected Completion &lt; today and not Completed)</t>
        </is>
      </c>
    </row>
    <row r="20">
      <c r="A20" t="inlineStr">
        <is>
          <t>- Completion Percentage uses % format (enter 0.5 for 50%)</t>
        </is>
      </c>
    </row>
    <row r="21">
      <c r="A21" t="inlineStr"/>
    </row>
    <row r="22">
      <c r="A22" t="inlineStr">
        <is>
          <t>Rules: author ≠ sole approver · Agents OFF until G4 · work under submission/ only</t>
        </is>
      </c>
    </row>
    <row r="23">
      <c r="A23" t="inlineStr">
        <is>
          <t>Validated Task Details for all 91 tasks before Excel generation.</t>
        </is>
      </c>
    </row>
    <row r="24">
      <c r="A24" t="inlineStr">
        <is>
          <t>Calendar: D1 = 2026-08-04 (Option B+ sequential session days).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0" customWidth="1" min="3" max="3"/>
    <col width="40" customWidth="1" min="4" max="4"/>
    <col width="58" customWidth="1" min="5" max="5"/>
    <col width="16" customWidth="1" min="6" max="6"/>
    <col width="12" customWidth="1" min="7" max="7"/>
    <col width="14" customWidth="1" min="8" max="8"/>
    <col width="14" customWidth="1" min="9" max="9"/>
    <col width="16" customWidth="1" min="10" max="10"/>
    <col width="16" customWidth="1" min="11" max="11"/>
    <col width="28" customWidth="1" min="12" max="12"/>
    <col width="24" customWidth="1" min="13" max="13"/>
    <col width="14" customWidth="1" min="14" max="14"/>
    <col width="20" customWidth="1" min="15" max="15"/>
    <col width="12" customWidth="1" min="16" max="16"/>
    <col width="18" customWidth="1" min="17" max="17"/>
    <col width="36" customWidth="1" min="18" max="18"/>
    <col width="12" customWidth="1" min="19" max="19"/>
    <col width="28" customWidth="1" min="20" max="20"/>
  </cols>
  <sheetData>
    <row r="1" ht="32" customHeight="1">
      <c r="A1" s="2" t="inlineStr">
        <is>
          <t>Date / Day</t>
        </is>
      </c>
      <c r="B1" s="2" t="inlineStr">
        <is>
          <t>Module / Workstream</t>
        </is>
      </c>
      <c r="C1" s="2" t="inlineStr">
        <is>
          <t>Task ID</t>
        </is>
      </c>
      <c r="D1" s="2" t="inlineStr">
        <is>
          <t>Task</t>
        </is>
      </c>
      <c r="E1" s="2" t="inlineStr">
        <is>
          <t>Task Details</t>
        </is>
      </c>
      <c r="F1" s="2" t="inlineStr">
        <is>
          <t>Assigned To</t>
        </is>
      </c>
      <c r="G1" s="2" t="inlineStr">
        <is>
          <t>Priority</t>
        </is>
      </c>
      <c r="H1" s="2" t="inlineStr">
        <is>
          <t>Status</t>
        </is>
      </c>
      <c r="I1" s="2" t="inlineStr">
        <is>
          <t>Start Date</t>
        </is>
      </c>
      <c r="J1" s="2" t="inlineStr">
        <is>
          <t>Expected Completion Date</t>
        </is>
      </c>
      <c r="K1" s="2" t="inlineStr">
        <is>
          <t>Actual Completion Date</t>
        </is>
      </c>
      <c r="L1" s="2" t="inlineStr">
        <is>
          <t>Dependencies</t>
        </is>
      </c>
      <c r="M1" s="2" t="inlineStr">
        <is>
          <t>Blockers / Remarks</t>
        </is>
      </c>
      <c r="N1" s="2" t="inlineStr">
        <is>
          <t>Completion Percentage</t>
        </is>
      </c>
      <c r="O1" s="2" t="inlineStr">
        <is>
          <t>Reviewer</t>
        </is>
      </c>
      <c r="P1" s="2" t="inlineStr">
        <is>
          <t>Gate</t>
        </is>
      </c>
      <c r="Q1" s="2" t="inlineStr">
        <is>
          <t>FINAL ref</t>
        </is>
      </c>
      <c r="R1" s="2" t="inlineStr">
        <is>
          <t>Evaluation criteria</t>
        </is>
      </c>
      <c r="S1" s="2" t="inlineStr">
        <is>
          <t>Result</t>
        </is>
      </c>
      <c r="T1" s="2" t="inlineStr">
        <is>
          <t>Evidence path</t>
        </is>
      </c>
    </row>
    <row r="2" ht="78" customHeight="1">
      <c r="A2" s="3" t="inlineStr">
        <is>
          <t>D1</t>
        </is>
      </c>
      <c r="B2" s="3" t="inlineStr">
        <is>
          <t>P0 Preflight</t>
        </is>
      </c>
      <c r="C2" s="3" t="inlineStr">
        <is>
          <t>D1-T1</t>
        </is>
      </c>
      <c r="D2" s="3" t="inlineStr">
        <is>
          <t>Hour-0 preflight; archive VALIDATION_REPORT.json</t>
        </is>
      </c>
      <c r="E2" s="3" t="inlineStr">
        <is>
          <t>What to implement: Hour-0 preflight; archive VALIDATION_REPORT.json
Expected functionality: Run `python -B run_capstone.py --check` once. Copy/archive VALIDATION_REPORT.json under submission/evidence/ with timestamp. Do not re-run until defence unless challenge tree integrity is in doubt. Log command + result in decision log.
Important considerations: Work only under submission/; preserve immutable challenge evidence; Agents OFF until G4 PASS. FINAL ref §4.2, §8 P0. Reviewer FDE-5 (author ≠ sole approver). Gate context: Preflight.
Expected output / completion criteria: Command uses python -B; report status PASS; archive path under submission/evidence/; timestamp logged</t>
        </is>
      </c>
      <c r="F2" s="3" t="inlineStr">
        <is>
          <t>FDE-3</t>
        </is>
      </c>
      <c r="G2" s="3" t="inlineStr">
        <is>
          <t>Critical</t>
        </is>
      </c>
      <c r="H2" s="3" t="inlineStr">
        <is>
          <t>Not Started</t>
        </is>
      </c>
      <c r="I2" s="4" t="n">
        <v>46238</v>
      </c>
      <c r="J2" s="4" t="n">
        <v>46238</v>
      </c>
      <c r="K2" s="4" t="n"/>
      <c r="L2" s="3" t="inlineStr">
        <is>
          <t>Kickoff / package available</t>
        </is>
      </c>
      <c r="M2" s="3" t="inlineStr"/>
      <c r="N2" s="5" t="n">
        <v>0</v>
      </c>
      <c r="O2" s="3" t="inlineStr">
        <is>
          <t>FDE-5</t>
        </is>
      </c>
      <c r="P2" s="3" t="inlineStr">
        <is>
          <t>Preflight</t>
        </is>
      </c>
      <c r="Q2" s="3" t="inlineStr">
        <is>
          <t>§4.2, §8 P0</t>
        </is>
      </c>
      <c r="R2" s="3" t="inlineStr">
        <is>
          <t>Command uses python -B; report status PASS; archive path under submission/evidence/; timestamp logged</t>
        </is>
      </c>
      <c r="S2" s="3" t="inlineStr"/>
      <c r="T2" s="3" t="inlineStr"/>
    </row>
    <row r="3" ht="78" customHeight="1">
      <c r="A3" s="6" t="inlineStr">
        <is>
          <t>D1</t>
        </is>
      </c>
      <c r="B3" s="6" t="inlineStr">
        <is>
          <t>P0 Preflight</t>
        </is>
      </c>
      <c r="C3" s="6" t="inlineStr">
        <is>
          <t>D1-T2</t>
        </is>
      </c>
      <c r="D3" s="6" t="inlineStr">
        <is>
          <t>Scaffold submission dirs; -B convention</t>
        </is>
      </c>
      <c r="E3" s="6" t="inlineStr">
        <is>
          <t>What to implement: Scaffold submission dirs; -B convention
Expected functionality: Create submission tree via check_submission_structure.py --scaffold. Ensure app/, src/, tests/, evaluation/, artefacts/, evidence/, runbooks/, scripts/ exist. Document that all Python invocations use python -B.
Important considerations: Work only under submission/; preserve immutable challenge evidence; Agents OFF until G4 PASS. FINAL ref §7.2, §8 P0. Reviewer FDE-1 (author ≠ sole approver). Gate context: Preflight.
Expected output / completion criteria: check_submission_structure.py --scaffold PASS; dirs app/src/tests/evaluation/artefacts/evidence/runbooks/scripts exist</t>
        </is>
      </c>
      <c r="F3" s="6" t="inlineStr">
        <is>
          <t>FDE-3</t>
        </is>
      </c>
      <c r="G3" s="6" t="inlineStr">
        <is>
          <t>Critical</t>
        </is>
      </c>
      <c r="H3" s="6" t="inlineStr">
        <is>
          <t>Not Started</t>
        </is>
      </c>
      <c r="I3" s="7" t="n">
        <v>46238</v>
      </c>
      <c r="J3" s="7" t="n">
        <v>46238</v>
      </c>
      <c r="K3" s="7" t="n"/>
      <c r="L3" s="6" t="inlineStr">
        <is>
          <t>Kickoff / package available</t>
        </is>
      </c>
      <c r="M3" s="6" t="inlineStr"/>
      <c r="N3" s="8" t="n">
        <v>0</v>
      </c>
      <c r="O3" s="6" t="inlineStr">
        <is>
          <t>FDE-1</t>
        </is>
      </c>
      <c r="P3" s="6" t="inlineStr">
        <is>
          <t>Preflight</t>
        </is>
      </c>
      <c r="Q3" s="6" t="inlineStr">
        <is>
          <t>§7.2, §8 P0</t>
        </is>
      </c>
      <c r="R3" s="6" t="inlineStr">
        <is>
          <t>check_submission_structure.py --scaffold PASS; dirs app/src/tests/evaluation/artefacts/evidence/runbooks/scripts exist</t>
        </is>
      </c>
      <c r="S3" s="6" t="inlineStr"/>
      <c r="T3" s="6" t="inlineStr"/>
    </row>
    <row r="4" ht="78" customHeight="1">
      <c r="A4" s="3" t="inlineStr">
        <is>
          <t>D1</t>
        </is>
      </c>
      <c r="B4" s="3" t="inlineStr">
        <is>
          <t>P0 Preflight</t>
        </is>
      </c>
      <c r="C4" s="3" t="inlineStr">
        <is>
          <t>D1-T3</t>
        </is>
      </c>
      <c r="D4" s="3" t="inlineStr">
        <is>
          <t>Team charter + SCQA; open Assumptions/Decision/RAID logs</t>
        </is>
      </c>
      <c r="E4" s="3" t="inlineStr">
        <is>
          <t>What to implement: Team charter + SCQA; open Assumptions/Decision/RAID logs
Expected functionality: Write short charter (SCQA + seats + prohibited AI actions). Create assumptions, decision, and RAID logs under submission/evidence/. Name FDE-1…5 ↔ P1…P5. Confirm dual-track honesty language.
Important considerations: Work only under submission/; preserve immutable challenge evidence; Agents OFF until G4 PASS. FINAL ref §8 P0, §17, §21. Reviewer FDE-4 (author ≠ sole approver). Gate context: Preflight.
Expected output / completion criteria: Charter lists prohibited AI actions; logs exist under submission/evidence/; seats named</t>
        </is>
      </c>
      <c r="F4" s="3" t="inlineStr">
        <is>
          <t>FDE-1</t>
        </is>
      </c>
      <c r="G4" s="3" t="inlineStr">
        <is>
          <t>Critical</t>
        </is>
      </c>
      <c r="H4" s="3" t="inlineStr">
        <is>
          <t>Not Started</t>
        </is>
      </c>
      <c r="I4" s="4" t="n">
        <v>46238</v>
      </c>
      <c r="J4" s="4" t="n">
        <v>46238</v>
      </c>
      <c r="K4" s="4" t="n"/>
      <c r="L4" s="3" t="inlineStr">
        <is>
          <t>Kickoff / package available</t>
        </is>
      </c>
      <c r="M4" s="3" t="inlineStr"/>
      <c r="N4" s="5" t="n">
        <v>0</v>
      </c>
      <c r="O4" s="3" t="inlineStr">
        <is>
          <t>FDE-4</t>
        </is>
      </c>
      <c r="P4" s="3" t="inlineStr">
        <is>
          <t>Preflight</t>
        </is>
      </c>
      <c r="Q4" s="3" t="inlineStr">
        <is>
          <t>§8 P0, §17, §21</t>
        </is>
      </c>
      <c r="R4" s="3" t="inlineStr">
        <is>
          <t>Charter lists prohibited AI actions; logs exist under submission/evidence/; seats named</t>
        </is>
      </c>
      <c r="S4" s="3" t="inlineStr"/>
      <c r="T4" s="3" t="inlineStr"/>
    </row>
    <row r="5" ht="78" customHeight="1">
      <c r="A5" s="6" t="inlineStr">
        <is>
          <t>D1</t>
        </is>
      </c>
      <c r="B5" s="6" t="inlineStr">
        <is>
          <t>P0 Preflight</t>
        </is>
      </c>
      <c r="C5" s="6" t="inlineStr">
        <is>
          <t>D1-T4</t>
        </is>
      </c>
      <c r="D5" s="6" t="inlineStr">
        <is>
          <t>Case + inject catalogue skim; D01–D13 hotspots</t>
        </is>
      </c>
      <c r="E5" s="6" t="inlineStr">
        <is>
          <t>What to implement: Case + inject catalogue skim; D01–D13 hotspots
Expected functionality: Read INTEGRATED_CASE and injects.json. Produce hotspot list for D01–D13 (batch/PV/supply/privacy/security). Explicitly do not “fix” deliberate conflicts or normalize units/IDs.
Important considerations: Work only under submission/; preserve immutable challenge evidence; Agents OFF until G4 PASS. FINAL ref §3, §8 P0. Reviewer FDE-3 (author ≠ sole approver). Gate context: Preflight.
Expected output / completion criteria: Written hotspot list citing INTEGRATED_CASE / injects.json; no conflict “fixes”</t>
        </is>
      </c>
      <c r="F5" s="6" t="inlineStr">
        <is>
          <t>FDE-2</t>
        </is>
      </c>
      <c r="G5" s="6" t="inlineStr">
        <is>
          <t>Critical</t>
        </is>
      </c>
      <c r="H5" s="6" t="inlineStr">
        <is>
          <t>Not Started</t>
        </is>
      </c>
      <c r="I5" s="7" t="n">
        <v>46238</v>
      </c>
      <c r="J5" s="7" t="n">
        <v>46238</v>
      </c>
      <c r="K5" s="7" t="n"/>
      <c r="L5" s="6" t="inlineStr">
        <is>
          <t>Kickoff / package available</t>
        </is>
      </c>
      <c r="M5" s="6" t="inlineStr"/>
      <c r="N5" s="8" t="n">
        <v>0</v>
      </c>
      <c r="O5" s="6" t="inlineStr">
        <is>
          <t>FDE-3</t>
        </is>
      </c>
      <c r="P5" s="6" t="inlineStr">
        <is>
          <t>Preflight</t>
        </is>
      </c>
      <c r="Q5" s="6" t="inlineStr">
        <is>
          <t>§3, §8 P0</t>
        </is>
      </c>
      <c r="R5" s="6" t="inlineStr">
        <is>
          <t>Written hotspot list citing INTEGRATED_CASE / injects.json; no conflict “fixes”</t>
        </is>
      </c>
      <c r="S5" s="6" t="inlineStr"/>
      <c r="T5" s="6" t="inlineStr"/>
    </row>
    <row r="6" ht="78" customHeight="1">
      <c r="A6" s="3" t="inlineStr">
        <is>
          <t>D1</t>
        </is>
      </c>
      <c r="B6" s="3" t="inlineStr">
        <is>
          <t>P0 Preflight</t>
        </is>
      </c>
      <c r="C6" s="3" t="inlineStr">
        <is>
          <t>D1-T5</t>
        </is>
      </c>
      <c r="D6" s="3" t="inlineStr">
        <is>
          <t>Prohibited-action catalogue from ai_use_boundaries + decision_rights</t>
        </is>
      </c>
      <c r="E6" s="3" t="inlineStr">
        <is>
          <t>What to implement: Prohibited-action catalogue from ai_use_boundaries + decision_rights
Expected functionality: Extract forbid lists from challenge CSVs. Map each forbid to Workflow A/B/C. Catalogue becomes input to G1 artefacts and G3/G4 contracts.
Important considerations: Work only under submission/; preserve immutable challenge evidence; Agents OFF until G4 PASS. FINAL ref §1, §3.2, §8 P1 prep. Reviewer FDE-5 (author ≠ sole approver). Gate context: Preflight.
Expected output / completion criteria: Catalogue covers batch/PV/supply forbids; cites CSV paths; maps to WF A/B/C</t>
        </is>
      </c>
      <c r="F6" s="3" t="inlineStr">
        <is>
          <t>FDE-4</t>
        </is>
      </c>
      <c r="G6" s="3" t="inlineStr">
        <is>
          <t>Critical</t>
        </is>
      </c>
      <c r="H6" s="3" t="inlineStr">
        <is>
          <t>Not Started</t>
        </is>
      </c>
      <c r="I6" s="4" t="n">
        <v>46238</v>
      </c>
      <c r="J6" s="4" t="n">
        <v>46238</v>
      </c>
      <c r="K6" s="4" t="n"/>
      <c r="L6" s="3" t="inlineStr">
        <is>
          <t>Kickoff / package available</t>
        </is>
      </c>
      <c r="M6" s="3" t="inlineStr"/>
      <c r="N6" s="5" t="n">
        <v>0</v>
      </c>
      <c r="O6" s="3" t="inlineStr">
        <is>
          <t>FDE-5</t>
        </is>
      </c>
      <c r="P6" s="3" t="inlineStr">
        <is>
          <t>Preflight</t>
        </is>
      </c>
      <c r="Q6" s="3" t="inlineStr">
        <is>
          <t>§1, §3.2, §8 P1 prep</t>
        </is>
      </c>
      <c r="R6" s="3" t="inlineStr">
        <is>
          <t>Catalogue covers batch/PV/supply forbids; cites CSV paths; maps to WF A/B/C</t>
        </is>
      </c>
      <c r="S6" s="3" t="inlineStr"/>
      <c r="T6" s="3" t="inlineStr"/>
    </row>
    <row r="7" ht="78" customHeight="1">
      <c r="A7" s="6" t="inlineStr">
        <is>
          <t>D1</t>
        </is>
      </c>
      <c r="B7" s="6" t="inlineStr">
        <is>
          <t>P0 Preflight</t>
        </is>
      </c>
      <c r="C7" s="6" t="inlineStr">
        <is>
          <t>D1-T6</t>
        </is>
      </c>
      <c r="D7" s="6" t="inlineStr">
        <is>
          <t>Security/privacy stop lines; flag INJ-065/066/067</t>
        </is>
      </c>
      <c r="E7" s="6" t="inlineStr">
        <is>
          <t>What to implement: Security/privacy stop lines; flag INJ-065/066/067
Expected functionality: Write deny-by-default stop lines for tool poisoning, unsigned tools, stale auth. Reference INJ-065/066/067. Feed into threat artefact and failing tests later.
Important considerations: Work only under submission/; preserve immutable challenge evidence; Agents OFF until G4 PASS. FINAL ref §3.4, §11. Reviewer FDE-4 (author ≠ sole approver). Gate context: Preflight.
Expected output / completion criteria: Stop lines written; three inject IDs referenced; deny-by-default stated</t>
        </is>
      </c>
      <c r="F7" s="6" t="inlineStr">
        <is>
          <t>FDE-5</t>
        </is>
      </c>
      <c r="G7" s="6" t="inlineStr">
        <is>
          <t>Critical</t>
        </is>
      </c>
      <c r="H7" s="6" t="inlineStr">
        <is>
          <t>Not Started</t>
        </is>
      </c>
      <c r="I7" s="7" t="n">
        <v>46238</v>
      </c>
      <c r="J7" s="7" t="n">
        <v>46238</v>
      </c>
      <c r="K7" s="7" t="n"/>
      <c r="L7" s="6" t="inlineStr">
        <is>
          <t>Kickoff / package available</t>
        </is>
      </c>
      <c r="M7" s="6" t="inlineStr"/>
      <c r="N7" s="8" t="n">
        <v>0</v>
      </c>
      <c r="O7" s="6" t="inlineStr">
        <is>
          <t>FDE-4</t>
        </is>
      </c>
      <c r="P7" s="6" t="inlineStr">
        <is>
          <t>Preflight</t>
        </is>
      </c>
      <c r="Q7" s="6" t="inlineStr">
        <is>
          <t>§3.4, §11</t>
        </is>
      </c>
      <c r="R7" s="6" t="inlineStr">
        <is>
          <t>Stop lines written; three inject IDs referenced; deny-by-default stated</t>
        </is>
      </c>
      <c r="S7" s="6" t="inlineStr"/>
      <c r="T7" s="6" t="inlineStr"/>
    </row>
    <row r="8" ht="78" customHeight="1">
      <c r="A8" s="3" t="inlineStr">
        <is>
          <t>D1</t>
        </is>
      </c>
      <c r="B8" s="3" t="inlineStr">
        <is>
          <t>P0 Preflight</t>
        </is>
      </c>
      <c r="C8" s="3" t="inlineStr">
        <is>
          <t>D1-T7</t>
        </is>
      </c>
      <c r="D8" s="3" t="inlineStr">
        <is>
          <t>Ratify AEGIS_PROJECT_PLAN_FINAL.md</t>
        </is>
      </c>
      <c r="E8" s="3" t="inlineStr">
        <is>
          <t>What to implement: Ratify AEGIS_PROJECT_PLAN_FINAL.md
Expected functionality: Team agrees FINAL v1.1+ is governing SoT. Decision-log entry with version, date, dual-track honesty. Supersedes V1–V4 for execution.
Important considerations: Work only under submission/; preserve immutable challenge evidence; Agents OFF until G4 PASS. FINAL ref §21. Reviewer FDE-1 records (author ≠ sole approver). Gate context: Preflight.
Expected output / completion criteria: Decision-log entry: ratified version + date; dual-track honesty acknowledged</t>
        </is>
      </c>
      <c r="F8" s="3" t="inlineStr">
        <is>
          <t>All</t>
        </is>
      </c>
      <c r="G8" s="3" t="inlineStr">
        <is>
          <t>Critical</t>
        </is>
      </c>
      <c r="H8" s="3" t="inlineStr">
        <is>
          <t>Not Started</t>
        </is>
      </c>
      <c r="I8" s="4" t="n">
        <v>46238</v>
      </c>
      <c r="J8" s="4" t="n">
        <v>46238</v>
      </c>
      <c r="K8" s="4" t="n"/>
      <c r="L8" s="3" t="inlineStr">
        <is>
          <t>D1-T1; D1-T2; D1-T3</t>
        </is>
      </c>
      <c r="M8" s="3" t="inlineStr"/>
      <c r="N8" s="5" t="n">
        <v>0</v>
      </c>
      <c r="O8" s="3" t="inlineStr">
        <is>
          <t>FDE-1 records</t>
        </is>
      </c>
      <c r="P8" s="3" t="inlineStr">
        <is>
          <t>Preflight</t>
        </is>
      </c>
      <c r="Q8" s="3" t="inlineStr">
        <is>
          <t>§21</t>
        </is>
      </c>
      <c r="R8" s="3" t="inlineStr">
        <is>
          <t>Decision-log entry: ratified version + date; dual-track honesty acknowledged</t>
        </is>
      </c>
      <c r="S8" s="3" t="inlineStr"/>
      <c r="T8" s="3" t="inlineStr"/>
    </row>
    <row r="9" ht="78" customHeight="1">
      <c r="A9" s="6" t="inlineStr">
        <is>
          <t>D1</t>
        </is>
      </c>
      <c r="B9" s="6" t="inlineStr">
        <is>
          <t>P0 Preflight</t>
        </is>
      </c>
      <c r="C9" s="6" t="inlineStr">
        <is>
          <t>D1-T8</t>
        </is>
      </c>
      <c r="D9" s="6" t="inlineStr">
        <is>
          <t>Eval step 1: document brownfield understanding</t>
        </is>
      </c>
      <c r="E9" s="6" t="inlineStr">
        <is>
          <t>What to implement: Eval step 1: document brownfield understanding
Expected functionality: Capture workflows, I/O, evidence sources, tools/APIs, rules/restrictions, existing tests, failure handling, human approval points. Cite starter/ and contracts. Write to submission/evaluation/README.md or evidence/repo_understanding.md.
Important considerations: Work only under submission/; preserve immutable challenge evidence; Agents OFF until G4 PASS. FINAL ref §11.8 step 1. Reviewer FDE-2 (author ≠ sole approver). Gate context: Preflight.
Expected output / completion criteria: Written note covering all eight topics; cites starter/ + contracts</t>
        </is>
      </c>
      <c r="F9" s="6" t="inlineStr">
        <is>
          <t>FDE-5 (+FDE-3)</t>
        </is>
      </c>
      <c r="G9" s="6" t="inlineStr">
        <is>
          <t>Critical</t>
        </is>
      </c>
      <c r="H9" s="6" t="inlineStr">
        <is>
          <t>Not Started</t>
        </is>
      </c>
      <c r="I9" s="7" t="n">
        <v>46238</v>
      </c>
      <c r="J9" s="7" t="n">
        <v>46238</v>
      </c>
      <c r="K9" s="7" t="n"/>
      <c r="L9" s="6" t="inlineStr">
        <is>
          <t>D1-T4</t>
        </is>
      </c>
      <c r="M9" s="6" t="inlineStr"/>
      <c r="N9" s="8" t="n">
        <v>0</v>
      </c>
      <c r="O9" s="6" t="inlineStr">
        <is>
          <t>FDE-2</t>
        </is>
      </c>
      <c r="P9" s="6" t="inlineStr">
        <is>
          <t>Preflight</t>
        </is>
      </c>
      <c r="Q9" s="6" t="inlineStr">
        <is>
          <t>§11.8 step 1</t>
        </is>
      </c>
      <c r="R9" s="6" t="inlineStr">
        <is>
          <t>Written note covering all eight topics; cites starter/ + contracts</t>
        </is>
      </c>
      <c r="S9" s="6" t="inlineStr"/>
      <c r="T9" s="6" t="inlineStr"/>
    </row>
    <row r="10" ht="78" customHeight="1">
      <c r="A10" s="3" t="inlineStr">
        <is>
          <t>D1</t>
        </is>
      </c>
      <c r="B10" s="3" t="inlineStr">
        <is>
          <t>P0 Preflight</t>
        </is>
      </c>
      <c r="C10" s="3" t="inlineStr">
        <is>
          <t>D1-T9</t>
        </is>
      </c>
      <c r="D10" s="3" t="inlineStr">
        <is>
          <t>Create finops_delivery_log.csv; seed D1 rows</t>
        </is>
      </c>
      <c r="E10" s="3" t="inlineStr">
        <is>
          <t>What to implement: Create finops_delivery_log.csv; seed D1 rows
Expected functionality: Create submission/evidence/finops_delivery_log.csv with columns: date, task_id, chat_sessions, files_attached, agent_iterations, terminal_commands, files_modified, failed_attempts, full_suite_runs, task_outcome. Each seat logs ≥1 D1 row; agent_iterations=0 until G4.
Important considerations: Work only under submission/; preserve immutable challenge evidence; Agents OFF until G4 PASS. FINAL ref §11.9. Reviewer FDE-5 (author ≠ sole approver). Gate context: Preflight.
Expected output / completion criteria: Header matches §0.3; each seat has ≥1 row for D1; agent_iterations=0</t>
        </is>
      </c>
      <c r="F10" s="3" t="inlineStr">
        <is>
          <t>FDE-1</t>
        </is>
      </c>
      <c r="G10" s="3" t="inlineStr">
        <is>
          <t>Critical</t>
        </is>
      </c>
      <c r="H10" s="3" t="inlineStr">
        <is>
          <t>Not Started</t>
        </is>
      </c>
      <c r="I10" s="4" t="n">
        <v>46238</v>
      </c>
      <c r="J10" s="4" t="n">
        <v>46238</v>
      </c>
      <c r="K10" s="4" t="n"/>
      <c r="L10" s="3" t="inlineStr">
        <is>
          <t>D1-T3</t>
        </is>
      </c>
      <c r="M10" s="3" t="inlineStr"/>
      <c r="N10" s="5" t="n">
        <v>0</v>
      </c>
      <c r="O10" s="3" t="inlineStr">
        <is>
          <t>FDE-5</t>
        </is>
      </c>
      <c r="P10" s="3" t="inlineStr">
        <is>
          <t>Preflight</t>
        </is>
      </c>
      <c r="Q10" s="3" t="inlineStr">
        <is>
          <t>§11.9</t>
        </is>
      </c>
      <c r="R10" s="3" t="inlineStr">
        <is>
          <t>Header matches §0.3; each seat has ≥1 row for D1; agent_iterations=0</t>
        </is>
      </c>
      <c r="S10" s="3" t="inlineStr"/>
      <c r="T10" s="3" t="inlineStr"/>
    </row>
    <row r="11" ht="78" customHeight="1">
      <c r="A11" s="6" t="inlineStr">
        <is>
          <t>D2</t>
        </is>
      </c>
      <c r="B11" s="6" t="inlineStr">
        <is>
          <t>P1 Discovery / G1</t>
        </is>
      </c>
      <c r="C11" s="6" t="inlineStr">
        <is>
          <t>D2-T1</t>
        </is>
      </c>
      <c r="D11" s="6" t="inlineStr">
        <is>
          <t>Draft artefacts 01–04</t>
        </is>
      </c>
      <c r="E11" s="6" t="inlineStr">
        <is>
          <t>What to implement: Draft artefacts 01–04
Expected functionality: Produce problem/value (01), business case (02), stakeholders (03), AI blueprint/boundaries (04). Cite BR-01, kpi_conflicts, stakeholders, ai_use_boundaries. Label FACT vs ASSUMPTION. Meet substantive length rules.
Important considerations: Work only under submission/; preserve immutable challenge evidence; Agents OFF until G4 PASS. FINAL ref §8 P1, §12. Reviewer FDE-4 (01–03), FDE-5 (04) (author ≠ sole approver). Gate context: G1.
Expected output / completion criteria: Each cites BR-01 / kpi_conflicts / stakeholders / ai_use_boundaries as applicable; FACT/ASSUMPTION labels; ≥ substantive length</t>
        </is>
      </c>
      <c r="F11" s="6" t="inlineStr">
        <is>
          <t>FDE-1</t>
        </is>
      </c>
      <c r="G11" s="6" t="inlineStr">
        <is>
          <t>Critical</t>
        </is>
      </c>
      <c r="H11" s="6" t="inlineStr">
        <is>
          <t>Not Started</t>
        </is>
      </c>
      <c r="I11" s="7" t="n">
        <v>46239</v>
      </c>
      <c r="J11" s="7" t="n">
        <v>46239</v>
      </c>
      <c r="K11" s="7" t="n"/>
      <c r="L11" s="6" t="inlineStr">
        <is>
          <t>D1-T7</t>
        </is>
      </c>
      <c r="M11" s="6" t="inlineStr"/>
      <c r="N11" s="8" t="n">
        <v>0</v>
      </c>
      <c r="O11" s="6" t="inlineStr">
        <is>
          <t>FDE-4 (01–03), FDE-5 (04)</t>
        </is>
      </c>
      <c r="P11" s="6" t="inlineStr">
        <is>
          <t>G1</t>
        </is>
      </c>
      <c r="Q11" s="6" t="inlineStr">
        <is>
          <t>§8 P1, §12</t>
        </is>
      </c>
      <c r="R11" s="6" t="inlineStr">
        <is>
          <t>Each cites BR-01 / kpi_conflicts / stakeholders / ai_use_boundaries as applicable; FACT/ASSUMPTION labels; ≥ substantive length</t>
        </is>
      </c>
      <c r="S11" s="6" t="inlineStr"/>
      <c r="T11" s="6" t="inlineStr"/>
    </row>
    <row r="12" ht="78" customHeight="1">
      <c r="A12" s="3" t="inlineStr">
        <is>
          <t>D2</t>
        </is>
      </c>
      <c r="B12" s="3" t="inlineStr">
        <is>
          <t>P1 Discovery / G1</t>
        </is>
      </c>
      <c r="C12" s="3" t="inlineStr">
        <is>
          <t>D2-T2</t>
        </is>
      </c>
      <c r="D12" s="3" t="inlineStr">
        <is>
          <t>No-AI comparison + stop/pivot</t>
        </is>
      </c>
      <c r="E12" s="3" t="inlineStr">
        <is>
          <t>What to implement: No-AI comparison + stop/pivot
Expected functionality: Compare master_data_repair vs rules vs GenAI paths. Document stop/pivot/pause/abstain triggers including prohibited autonomy. Keep honest about when AI is not needed.
Important considerations: Work only under submission/; preserve immutable challenge evidence; Agents OFF until G4 PASS. FINAL ref §3.3, §3.4. Reviewer FDE-5 (author ≠ sole approver). Gate context: G1.
Expected output / completion criteria: master_data_repair / rules / genai table present; stop triggers include prohibited autonomy</t>
        </is>
      </c>
      <c r="F12" s="3" t="inlineStr">
        <is>
          <t>FDE-1</t>
        </is>
      </c>
      <c r="G12" s="3" t="inlineStr">
        <is>
          <t>Critical</t>
        </is>
      </c>
      <c r="H12" s="3" t="inlineStr">
        <is>
          <t>Not Started</t>
        </is>
      </c>
      <c r="I12" s="4" t="n">
        <v>46239</v>
      </c>
      <c r="J12" s="4" t="n">
        <v>46239</v>
      </c>
      <c r="K12" s="4" t="n"/>
      <c r="L12" s="3" t="inlineStr">
        <is>
          <t>D2-T1</t>
        </is>
      </c>
      <c r="M12" s="3" t="inlineStr"/>
      <c r="N12" s="5" t="n">
        <v>0</v>
      </c>
      <c r="O12" s="3" t="inlineStr">
        <is>
          <t>FDE-5</t>
        </is>
      </c>
      <c r="P12" s="3" t="inlineStr">
        <is>
          <t>G1</t>
        </is>
      </c>
      <c r="Q12" s="3" t="inlineStr">
        <is>
          <t>§3.3, §3.4</t>
        </is>
      </c>
      <c r="R12" s="3" t="inlineStr">
        <is>
          <t>master_data_repair / rules / genai table present; stop triggers include prohibited autonomy</t>
        </is>
      </c>
      <c r="S12" s="3" t="inlineStr"/>
      <c r="T12" s="3" t="inlineStr"/>
    </row>
    <row r="13" ht="78" customHeight="1">
      <c r="A13" s="6" t="inlineStr">
        <is>
          <t>D2</t>
        </is>
      </c>
      <c r="B13" s="6" t="inlineStr">
        <is>
          <t>P1 Discovery / G1</t>
        </is>
      </c>
      <c r="C13" s="6" t="inlineStr">
        <is>
          <t>D2-T3</t>
        </is>
      </c>
      <c r="D13" s="6" t="inlineStr">
        <is>
          <t>Lock production NFRs @ G1</t>
        </is>
      </c>
      <c r="E13" s="6" t="inlineStr">
        <is>
          <t>What to implement: Lock production NFRs @ G1
Expected functionality: Fill all 8 NFR rows (availability through compliance). No certification or ISO-conformant overclaim. Lock table at G1 for later soak/FinOps checks.
Important considerations: Work only under submission/; preserve immutable challenge evidence; Agents OFF until G4 PASS. FINAL ref §5.3. Reviewer FDE-5 (author ≠ sole approver). Gate context: G1.
Expected output / completion criteria: All 8 NFR rows filled; no certification overclaim</t>
        </is>
      </c>
      <c r="F13" s="6" t="inlineStr">
        <is>
          <t>FDE-1</t>
        </is>
      </c>
      <c r="G13" s="6" t="inlineStr">
        <is>
          <t>Critical</t>
        </is>
      </c>
      <c r="H13" s="6" t="inlineStr">
        <is>
          <t>Not Started</t>
        </is>
      </c>
      <c r="I13" s="7" t="n">
        <v>46239</v>
      </c>
      <c r="J13" s="7" t="n">
        <v>46239</v>
      </c>
      <c r="K13" s="7" t="n"/>
      <c r="L13" s="6" t="inlineStr">
        <is>
          <t>D2-T1</t>
        </is>
      </c>
      <c r="M13" s="6" t="inlineStr"/>
      <c r="N13" s="8" t="n">
        <v>0</v>
      </c>
      <c r="O13" s="6" t="inlineStr">
        <is>
          <t>FDE-5</t>
        </is>
      </c>
      <c r="P13" s="6" t="inlineStr">
        <is>
          <t>G1</t>
        </is>
      </c>
      <c r="Q13" s="6" t="inlineStr">
        <is>
          <t>§5.3</t>
        </is>
      </c>
      <c r="R13" s="6" t="inlineStr">
        <is>
          <t>All 8 NFR rows filled; no certification overclaim</t>
        </is>
      </c>
      <c r="S13" s="6" t="inlineStr"/>
      <c r="T13" s="6" t="inlineStr"/>
    </row>
    <row r="14" ht="78" customHeight="1">
      <c r="A14" s="3" t="inlineStr">
        <is>
          <t>D2</t>
        </is>
      </c>
      <c r="B14" s="3" t="inlineStr">
        <is>
          <t>P1 Discovery / G1</t>
        </is>
      </c>
      <c r="C14" s="3" t="inlineStr">
        <is>
          <t>D2-T4</t>
        </is>
      </c>
      <c r="D14" s="3" t="inlineStr">
        <is>
          <t>Stakeholder facts → artefact 03</t>
        </is>
      </c>
      <c r="E14" s="3" t="inlineStr">
        <is>
          <t>What to implement: Stakeholder facts → artefact 03
Expected functionality: Feed 15 roles and 5 conflicts into artefact 03. Preserve AI authority as none/draft-only. Surface Quality vs Manufacturing tension without resolving it away.
Important considerations: Work only under submission/; preserve immutable challenge evidence; Agents OFF until G4 PASS. FINAL ref §6.3. Reviewer FDE-4 (author ≠ sole approver). Gate context: G1.
Expected output / completion criteria: 15 roles / 5 conflicts referenced; AI authority none/draft only preserved</t>
        </is>
      </c>
      <c r="F14" s="3" t="inlineStr">
        <is>
          <t>FDE-2</t>
        </is>
      </c>
      <c r="G14" s="3" t="inlineStr">
        <is>
          <t>Critical</t>
        </is>
      </c>
      <c r="H14" s="3" t="inlineStr">
        <is>
          <t>Not Started</t>
        </is>
      </c>
      <c r="I14" s="4" t="n">
        <v>46239</v>
      </c>
      <c r="J14" s="4" t="n">
        <v>46239</v>
      </c>
      <c r="K14" s="4" t="n"/>
      <c r="L14" s="3" t="inlineStr">
        <is>
          <t>D1-T4</t>
        </is>
      </c>
      <c r="M14" s="3" t="inlineStr"/>
      <c r="N14" s="5" t="n">
        <v>0</v>
      </c>
      <c r="O14" s="3" t="inlineStr">
        <is>
          <t>FDE-4</t>
        </is>
      </c>
      <c r="P14" s="3" t="inlineStr">
        <is>
          <t>G1</t>
        </is>
      </c>
      <c r="Q14" s="3" t="inlineStr">
        <is>
          <t>§6.3</t>
        </is>
      </c>
      <c r="R14" s="3" t="inlineStr">
        <is>
          <t>15 roles / 5 conflicts referenced; AI authority none/draft only preserved</t>
        </is>
      </c>
      <c r="S14" s="3" t="inlineStr"/>
      <c r="T14" s="3" t="inlineStr"/>
    </row>
    <row r="15" ht="78" customHeight="1">
      <c r="A15" s="6" t="inlineStr">
        <is>
          <t>D2</t>
        </is>
      </c>
      <c r="B15" s="6" t="inlineStr">
        <is>
          <t>P1 Discovery / G1</t>
        </is>
      </c>
      <c r="C15" s="6" t="inlineStr">
        <is>
          <t>D2-T5</t>
        </is>
      </c>
      <c r="D15" s="6" t="inlineStr">
        <is>
          <t>Script stubs setup/run/test/evaluate/reset</t>
        </is>
      </c>
      <c r="E15" s="6" t="inlineStr">
        <is>
          <t>What to implement: Script stubs setup/run/test/evaluate/reset
Expected functionality: Create five named scripts under submission/scripts/ (stubs OK). Document invocation in README or runbook stub. Wire later in P5–P7.
Important considerations: Work only under submission/; preserve immutable challenge evidence; Agents OFF until G4 PASS. FINAL ref §7.2. Reviewer FDE-5 (author ≠ sole approver). Gate context: G1.
Expected output / completion criteria: Five named scripts exist (stubs OK); documented invocation</t>
        </is>
      </c>
      <c r="F15" s="6" t="inlineStr">
        <is>
          <t>FDE-3</t>
        </is>
      </c>
      <c r="G15" s="6" t="inlineStr">
        <is>
          <t>Critical</t>
        </is>
      </c>
      <c r="H15" s="6" t="inlineStr">
        <is>
          <t>Not Started</t>
        </is>
      </c>
      <c r="I15" s="7" t="n">
        <v>46239</v>
      </c>
      <c r="J15" s="7" t="n">
        <v>46239</v>
      </c>
      <c r="K15" s="7" t="n"/>
      <c r="L15" s="6" t="inlineStr">
        <is>
          <t>D1-T2</t>
        </is>
      </c>
      <c r="M15" s="6" t="inlineStr"/>
      <c r="N15" s="8" t="n">
        <v>0</v>
      </c>
      <c r="O15" s="6" t="inlineStr">
        <is>
          <t>FDE-5</t>
        </is>
      </c>
      <c r="P15" s="6" t="inlineStr">
        <is>
          <t>G1</t>
        </is>
      </c>
      <c r="Q15" s="6" t="inlineStr">
        <is>
          <t>§7.2</t>
        </is>
      </c>
      <c r="R15" s="6" t="inlineStr">
        <is>
          <t>Five named scripts exist (stubs OK); documented invocation</t>
        </is>
      </c>
      <c r="S15" s="6" t="inlineStr"/>
      <c r="T15" s="6" t="inlineStr"/>
    </row>
    <row r="16" ht="78" customHeight="1">
      <c r="A16" s="3" t="inlineStr">
        <is>
          <t>D2</t>
        </is>
      </c>
      <c r="B16" s="3" t="inlineStr">
        <is>
          <t>P1 Discovery / G1</t>
        </is>
      </c>
      <c r="C16" s="3" t="inlineStr">
        <is>
          <t>D2-T6</t>
        </is>
      </c>
      <c r="D16" s="3" t="inlineStr">
        <is>
          <t>Review 03; Quality vs Mfg conflict note</t>
        </is>
      </c>
      <c r="E16" s="3" t="inlineStr">
        <is>
          <t>What to implement: Review 03; Quality vs Mfg conflict note
Expected functionality: Independent review of artefact 03. Own the Quality vs Manufacturing conflict in writing. Author ≠ sole approver.
Important considerations: Work only under submission/; preserve immutable challenge evidence; Agents OFF until G4 PASS. FINAL ref §6.3, §12. Reviewer FDE-1 (ack) (author ≠ sole approver). Gate context: G1.
Expected output / completion criteria: Written review finding; conflict owned; no SoD breach</t>
        </is>
      </c>
      <c r="F16" s="3" t="inlineStr">
        <is>
          <t>FDE-4</t>
        </is>
      </c>
      <c r="G16" s="3" t="inlineStr">
        <is>
          <t>Critical</t>
        </is>
      </c>
      <c r="H16" s="3" t="inlineStr">
        <is>
          <t>Not Started</t>
        </is>
      </c>
      <c r="I16" s="4" t="n">
        <v>46239</v>
      </c>
      <c r="J16" s="4" t="n">
        <v>46239</v>
      </c>
      <c r="K16" s="4" t="n"/>
      <c r="L16" s="3" t="inlineStr">
        <is>
          <t>D2-T1; D2-T4</t>
        </is>
      </c>
      <c r="M16" s="3" t="inlineStr"/>
      <c r="N16" s="5" t="n">
        <v>0</v>
      </c>
      <c r="O16" s="3" t="inlineStr">
        <is>
          <t>FDE-1 (ack)</t>
        </is>
      </c>
      <c r="P16" s="3" t="inlineStr">
        <is>
          <t>G1</t>
        </is>
      </c>
      <c r="Q16" s="3" t="inlineStr">
        <is>
          <t>§6.3, §12</t>
        </is>
      </c>
      <c r="R16" s="3" t="inlineStr">
        <is>
          <t>Written review finding; conflict owned; no SoD breach</t>
        </is>
      </c>
      <c r="S16" s="3" t="inlineStr"/>
      <c r="T16" s="3" t="inlineStr"/>
    </row>
    <row r="17" ht="78" customHeight="1">
      <c r="A17" s="6" t="inlineStr">
        <is>
          <t>D2</t>
        </is>
      </c>
      <c r="B17" s="6" t="inlineStr">
        <is>
          <t>P1 Discovery / G1</t>
        </is>
      </c>
      <c r="C17" s="6" t="inlineStr">
        <is>
          <t>D2-T7</t>
        </is>
      </c>
      <c r="D17" s="6" t="inlineStr">
        <is>
          <t>Review 04; NFR sec/privacy rows</t>
        </is>
      </c>
      <c r="E17" s="6" t="inlineStr">
        <is>
          <t>What to implement: Review 04; NFR sec/privacy rows
Expected functionality: Review artefact 04 and NFR security/privacy bars. Confirm prohibited uses are explicit and measurable.
Important considerations: Work only under submission/; preserve immutable challenge evidence; Agents OFF until G4 PASS. FINAL ref §12, §5.3. Reviewer FDE-1 (ack) (author ≠ sole approver). Gate context: G1.
Expected output / completion criteria: Review confirms prohibited uses + privacy/security NFR bars</t>
        </is>
      </c>
      <c r="F17" s="6" t="inlineStr">
        <is>
          <t>FDE-5</t>
        </is>
      </c>
      <c r="G17" s="6" t="inlineStr">
        <is>
          <t>Critical</t>
        </is>
      </c>
      <c r="H17" s="6" t="inlineStr">
        <is>
          <t>Not Started</t>
        </is>
      </c>
      <c r="I17" s="7" t="n">
        <v>46239</v>
      </c>
      <c r="J17" s="7" t="n">
        <v>46239</v>
      </c>
      <c r="K17" s="7" t="n"/>
      <c r="L17" s="6" t="inlineStr">
        <is>
          <t>D2-T1; D2-T3</t>
        </is>
      </c>
      <c r="M17" s="6" t="inlineStr"/>
      <c r="N17" s="8" t="n">
        <v>0</v>
      </c>
      <c r="O17" s="6" t="inlineStr">
        <is>
          <t>FDE-1 (ack)</t>
        </is>
      </c>
      <c r="P17" s="6" t="inlineStr">
        <is>
          <t>G1</t>
        </is>
      </c>
      <c r="Q17" s="6" t="inlineStr">
        <is>
          <t>§12, §5.3</t>
        </is>
      </c>
      <c r="R17" s="6" t="inlineStr">
        <is>
          <t>Review confirms prohibited uses + privacy/security NFR bars</t>
        </is>
      </c>
      <c r="S17" s="6" t="inlineStr"/>
      <c r="T17" s="6" t="inlineStr"/>
    </row>
    <row r="18" ht="78" customHeight="1">
      <c r="A18" s="3" t="inlineStr">
        <is>
          <t>D3</t>
        </is>
      </c>
      <c r="B18" s="3" t="inlineStr">
        <is>
          <t>P2 Domain</t>
        </is>
      </c>
      <c r="C18" s="3" t="inlineStr">
        <is>
          <t>D3-T1</t>
        </is>
      </c>
      <c r="D18" s="3" t="inlineStr">
        <is>
          <t>Draft 05 DDD + 06 Data gov</t>
        </is>
      </c>
      <c r="E18" s="3" t="inlineStr">
        <is>
          <t>What to implement: Draft 05 DDD + 06 Data gov
Expected functionality: Bounded contexts for WF A/B/C. State ALCOA+ and no silent normalize. Artefact 06 must be hard-gate aware (authority, effective date, units).
Important considerations: Work only under submission/; preserve immutable challenge evidence; Agents OFF until G4 PASS. FINAL ref §8 P2, §12. Reviewer FDE-3 (05), FDE-4 (06) (author ≠ sole approver). Gate context: day exit / phase checkpoint.
Expected output / completion criteria: Bounded contexts for A/B/C; ALCOA+/no silent normalize stated; 06 hard-gate aware</t>
        </is>
      </c>
      <c r="F18" s="3" t="inlineStr">
        <is>
          <t>FDE-2</t>
        </is>
      </c>
      <c r="G18" s="3" t="inlineStr">
        <is>
          <t>High</t>
        </is>
      </c>
      <c r="H18" s="3" t="inlineStr">
        <is>
          <t>Not Started</t>
        </is>
      </c>
      <c r="I18" s="4" t="n">
        <v>46240</v>
      </c>
      <c r="J18" s="4" t="n">
        <v>46240</v>
      </c>
      <c r="K18" s="4" t="n"/>
      <c r="L18" s="3" t="inlineStr">
        <is>
          <t>G1 (D2)</t>
        </is>
      </c>
      <c r="M18" s="3" t="inlineStr"/>
      <c r="N18" s="5" t="n">
        <v>0</v>
      </c>
      <c r="O18" s="3" t="inlineStr">
        <is>
          <t>FDE-3 (05), FDE-4 (06)</t>
        </is>
      </c>
      <c r="P18" s="3" t="inlineStr"/>
      <c r="Q18" s="3" t="inlineStr">
        <is>
          <t>§8 P2, §12</t>
        </is>
      </c>
      <c r="R18" s="3" t="inlineStr">
        <is>
          <t>Bounded contexts for A/B/C; ALCOA+/no silent normalize stated; 06 hard-gate aware</t>
        </is>
      </c>
      <c r="S18" s="3" t="inlineStr"/>
      <c r="T18" s="3" t="inlineStr"/>
    </row>
    <row r="19" ht="78" customHeight="1">
      <c r="A19" s="6" t="inlineStr">
        <is>
          <t>D3</t>
        </is>
      </c>
      <c r="B19" s="6" t="inlineStr">
        <is>
          <t>P2 Domain</t>
        </is>
      </c>
      <c r="C19" s="6" t="inlineStr">
        <is>
          <t>D3-T2</t>
        </is>
      </c>
      <c r="D19" s="6" t="inlineStr">
        <is>
          <t>Start 84-inject register mirror</t>
        </is>
      </c>
      <c r="E19" s="6" t="inlineStr">
        <is>
          <t>What to implement: Start 84-inject register mirror
Expected functionality: Mirror INJECT_TEST_COVERAGE under submission/evaluation/. Leave challenge CSV untouched. All rows start NOT_RUN; progress must be countable.
Important considerations: Work only under submission/; preserve immutable challenge evidence; Agents OFF until G4 PASS. FINAL ref §11.1. Reviewer FDE-4 (author ≠ sole approver). Gate context: day exit / phase checkpoint.
Expected output / completion criteria: Mirror path under submission/evaluation/; challenge CSV untouched; progress countable</t>
        </is>
      </c>
      <c r="F19" s="6" t="inlineStr">
        <is>
          <t>FDE-2</t>
        </is>
      </c>
      <c r="G19" s="6" t="inlineStr">
        <is>
          <t>High</t>
        </is>
      </c>
      <c r="H19" s="6" t="inlineStr">
        <is>
          <t>Not Started</t>
        </is>
      </c>
      <c r="I19" s="7" t="n">
        <v>46240</v>
      </c>
      <c r="J19" s="7" t="n">
        <v>46240</v>
      </c>
      <c r="K19" s="7" t="n"/>
      <c r="L19" s="6" t="inlineStr">
        <is>
          <t>D1-T4</t>
        </is>
      </c>
      <c r="M19" s="6" t="inlineStr"/>
      <c r="N19" s="8" t="n">
        <v>0</v>
      </c>
      <c r="O19" s="6" t="inlineStr">
        <is>
          <t>FDE-4</t>
        </is>
      </c>
      <c r="P19" s="6" t="inlineStr"/>
      <c r="Q19" s="6" t="inlineStr">
        <is>
          <t>§11.1</t>
        </is>
      </c>
      <c r="R19" s="6" t="inlineStr">
        <is>
          <t>Mirror path under submission/evaluation/; challenge CSV untouched; progress countable</t>
        </is>
      </c>
      <c r="S19" s="6" t="inlineStr"/>
      <c r="T19" s="6" t="inlineStr"/>
    </row>
    <row r="20" ht="78" customHeight="1">
      <c r="A20" s="3" t="inlineStr">
        <is>
          <t>D3</t>
        </is>
      </c>
      <c r="B20" s="3" t="inlineStr">
        <is>
          <t>P2 Domain</t>
        </is>
      </c>
      <c r="C20" s="3" t="inlineStr">
        <is>
          <t>D3-T3</t>
        </is>
      </c>
      <c r="D20" s="3" t="inlineStr">
        <is>
          <t>RTM skeleton 09; RELATIONSHIP_MODEL checker design</t>
        </is>
      </c>
      <c r="E20" s="3" t="inlineStr">
        <is>
          <t>What to implement: RTM skeleton 09; RELATIONSHIP_MODEL checker design
Expected functionality: Start artefact 09 RTM. Design checker that cites RELATIONSHIP_MODEL.csv and fails closed on ambiguous identity links. Unique RTM IDs.
Important considerations: Work only under submission/; preserve immutable challenge evidence; Agents OFF until G4 PASS. FINAL ref §8 P2, §13. Reviewer FDE-5 (author ≠ sole approver). Gate context: day exit / phase checkpoint.
Expected output / completion criteria: Checker design cites RELATIONSHIP_MODEL.csv; RTM IDs unique</t>
        </is>
      </c>
      <c r="F20" s="3" t="inlineStr">
        <is>
          <t>FDE-3</t>
        </is>
      </c>
      <c r="G20" s="3" t="inlineStr">
        <is>
          <t>High</t>
        </is>
      </c>
      <c r="H20" s="3" t="inlineStr">
        <is>
          <t>Not Started</t>
        </is>
      </c>
      <c r="I20" s="4" t="n">
        <v>46240</v>
      </c>
      <c r="J20" s="4" t="n">
        <v>46240</v>
      </c>
      <c r="K20" s="4" t="n"/>
      <c r="L20" s="3" t="inlineStr">
        <is>
          <t>D3-T1</t>
        </is>
      </c>
      <c r="M20" s="3" t="inlineStr"/>
      <c r="N20" s="5" t="n">
        <v>0</v>
      </c>
      <c r="O20" s="3" t="inlineStr">
        <is>
          <t>FDE-5</t>
        </is>
      </c>
      <c r="P20" s="3" t="inlineStr"/>
      <c r="Q20" s="3" t="inlineStr">
        <is>
          <t>§8 P2, §13</t>
        </is>
      </c>
      <c r="R20" s="3" t="inlineStr">
        <is>
          <t>Checker design cites RELATIONSHIP_MODEL.csv; RTM IDs unique</t>
        </is>
      </c>
      <c r="S20" s="3" t="inlineStr"/>
      <c r="T20" s="3" t="inlineStr"/>
    </row>
    <row r="21" ht="78" customHeight="1">
      <c r="A21" s="6" t="inlineStr">
        <is>
          <t>D3</t>
        </is>
      </c>
      <c r="B21" s="6" t="inlineStr">
        <is>
          <t>P2 Domain</t>
        </is>
      </c>
      <c r="C21" s="6" t="inlineStr">
        <is>
          <t>D3-T4</t>
        </is>
      </c>
      <c r="D21" s="6" t="inlineStr">
        <is>
          <t>Authority/provenance rules for 06; INJ-031 flag</t>
        </is>
      </c>
      <c r="E21" s="6" t="inlineStr">
        <is>
          <t>What to implement: Authority/provenance rules for 06; INJ-031 flag
Expected functionality: Rules require status, authority, effective date. Log validation ambiguity as conflict (do not invent truth). Flag INJ-031.
Important considerations: Work only under submission/; preserve immutable challenge evidence; Agents OFF until G4 PASS. FINAL ref §8 P2, §11. Reviewer FDE-2 (author ≠ sole approver). Gate context: day exit / phase checkpoint.
Expected output / completion criteria: Rules require status/authority/effective date; validation ambiguity logged as conflict</t>
        </is>
      </c>
      <c r="F21" s="6" t="inlineStr">
        <is>
          <t>FDE-4</t>
        </is>
      </c>
      <c r="G21" s="6" t="inlineStr">
        <is>
          <t>High</t>
        </is>
      </c>
      <c r="H21" s="6" t="inlineStr">
        <is>
          <t>Not Started</t>
        </is>
      </c>
      <c r="I21" s="7" t="n">
        <v>46240</v>
      </c>
      <c r="J21" s="7" t="n">
        <v>46240</v>
      </c>
      <c r="K21" s="7" t="n"/>
      <c r="L21" s="6" t="inlineStr">
        <is>
          <t>Prior day exit (D2); seat capacity</t>
        </is>
      </c>
      <c r="M21" s="6" t="inlineStr"/>
      <c r="N21" s="8" t="n">
        <v>0</v>
      </c>
      <c r="O21" s="6" t="inlineStr">
        <is>
          <t>FDE-2</t>
        </is>
      </c>
      <c r="P21" s="6" t="inlineStr"/>
      <c r="Q21" s="6" t="inlineStr">
        <is>
          <t>§8 P2, §11</t>
        </is>
      </c>
      <c r="R21" s="6" t="inlineStr">
        <is>
          <t>Rules require status/authority/effective date; validation ambiguity logged as conflict</t>
        </is>
      </c>
      <c r="S21" s="6" t="inlineStr"/>
      <c r="T21" s="6" t="inlineStr"/>
    </row>
    <row r="22" ht="78" customHeight="1">
      <c r="A22" s="3" t="inlineStr">
        <is>
          <t>D3</t>
        </is>
      </c>
      <c r="B22" s="3" t="inlineStr">
        <is>
          <t>P2 Domain</t>
        </is>
      </c>
      <c r="C22" s="3" t="inlineStr">
        <is>
          <t>D3-T5</t>
        </is>
      </c>
      <c r="D22" s="3" t="inlineStr">
        <is>
          <t>Privacy/residency flags in register (D09)</t>
        </is>
      </c>
      <c r="E22" s="3" t="inlineStr">
        <is>
          <t>What to implement: Privacy/residency flags in register (D09)
Expected functionality: Tag INJ-059–064 in inject register. Do not silently minimize GxP holds for privacy convenience.
Important considerations: Work only under submission/; preserve immutable challenge evidence; Agents OFF until G4 PASS. FINAL ref §11.1 D09. Reviewer FDE-4 (author ≠ sole approver). Gate context: day exit / phase checkpoint.
Expected output / completion criteria: INJ-059–064 rows tagged; no silent minimization of GxP holds</t>
        </is>
      </c>
      <c r="F22" s="3" t="inlineStr">
        <is>
          <t>FDE-5</t>
        </is>
      </c>
      <c r="G22" s="3" t="inlineStr">
        <is>
          <t>High</t>
        </is>
      </c>
      <c r="H22" s="3" t="inlineStr">
        <is>
          <t>Not Started</t>
        </is>
      </c>
      <c r="I22" s="4" t="n">
        <v>46240</v>
      </c>
      <c r="J22" s="4" t="n">
        <v>46240</v>
      </c>
      <c r="K22" s="4" t="n"/>
      <c r="L22" s="3" t="inlineStr">
        <is>
          <t>Prior day exit (D2); seat capacity</t>
        </is>
      </c>
      <c r="M22" s="3" t="inlineStr"/>
      <c r="N22" s="5" t="n">
        <v>0</v>
      </c>
      <c r="O22" s="3" t="inlineStr">
        <is>
          <t>FDE-4</t>
        </is>
      </c>
      <c r="P22" s="3" t="inlineStr"/>
      <c r="Q22" s="3" t="inlineStr">
        <is>
          <t>§11.1 D09</t>
        </is>
      </c>
      <c r="R22" s="3" t="inlineStr">
        <is>
          <t>INJ-059–064 rows tagged; no silent minimization of GxP holds</t>
        </is>
      </c>
      <c r="S22" s="3" t="inlineStr"/>
      <c r="T22" s="3" t="inlineStr"/>
    </row>
    <row r="23" ht="78" customHeight="1">
      <c r="A23" s="6" t="inlineStr">
        <is>
          <t>D3</t>
        </is>
      </c>
      <c r="B23" s="6" t="inlineStr">
        <is>
          <t>P2 Domain</t>
        </is>
      </c>
      <c r="C23" s="6" t="inlineStr">
        <is>
          <t>D3-T6</t>
        </is>
      </c>
      <c r="D23" s="6" t="inlineStr">
        <is>
          <t>Brownfield/TOM impact notes; global vs local conflict</t>
        </is>
      </c>
      <c r="E23" s="6" t="inlineStr">
        <is>
          <t>What to implement: Brownfield/TOM impact notes; global vs local conflict
Expected functionality: Capture brownfield and TOM notes for artefact 26 later. Record global vs local conflict without premature resolution.
Important considerations: Work only under submission/; preserve immutable challenge evidence; Agents OFF until G4 PASS. FINAL ref §6.3. Reviewer FDE-4 (author ≠ sole approver). Gate context: day exit / phase checkpoint.
Expected output / completion criteria: Notes exist for later artefact 26; conflict not prematurely resolved</t>
        </is>
      </c>
      <c r="F23" s="6" t="inlineStr">
        <is>
          <t>FDE-1</t>
        </is>
      </c>
      <c r="G23" s="6" t="inlineStr">
        <is>
          <t>High</t>
        </is>
      </c>
      <c r="H23" s="6" t="inlineStr">
        <is>
          <t>Not Started</t>
        </is>
      </c>
      <c r="I23" s="7" t="n">
        <v>46240</v>
      </c>
      <c r="J23" s="7" t="n">
        <v>46240</v>
      </c>
      <c r="K23" s="7" t="n"/>
      <c r="L23" s="6" t="inlineStr">
        <is>
          <t>Prior day exit (D2); seat capacity</t>
        </is>
      </c>
      <c r="M23" s="6" t="inlineStr"/>
      <c r="N23" s="8" t="n">
        <v>0</v>
      </c>
      <c r="O23" s="6" t="inlineStr">
        <is>
          <t>FDE-4</t>
        </is>
      </c>
      <c r="P23" s="6" t="inlineStr"/>
      <c r="Q23" s="6" t="inlineStr">
        <is>
          <t>§6.3</t>
        </is>
      </c>
      <c r="R23" s="6" t="inlineStr">
        <is>
          <t>Notes exist for later artefact 26; conflict not prematurely resolved</t>
        </is>
      </c>
      <c r="S23" s="6" t="inlineStr"/>
      <c r="T23" s="6" t="inlineStr"/>
    </row>
    <row r="24" ht="78" customHeight="1">
      <c r="A24" s="3" t="inlineStr">
        <is>
          <t>D3</t>
        </is>
      </c>
      <c r="B24" s="3" t="inlineStr">
        <is>
          <t>P2 Domain</t>
        </is>
      </c>
      <c r="C24" s="3" t="inlineStr">
        <is>
          <t>D3-T7</t>
        </is>
      </c>
      <c r="D24" s="3" t="inlineStr">
        <is>
          <t>Eval step 2: design eval-set coverage matrix</t>
        </is>
      </c>
      <c r="E24" s="3" t="inlineStr">
        <is>
          <t>What to implement: Eval step 2: design eval-set coverage matrix
Expected functionality: Design cases: normal, edge, adversarial, metamorphic, outage. Include required/prohibited behaviours, escalation, hard-gate status. Store under evaluation/datasets/. expected_answer_included=no.
Important considerations: Work only under submission/; preserve immutable challenge evidence; Agents OFF until G4 PASS. FINAL ref §11.8 step 2. Reviewer FDE-4 (author ≠ sole approver). Gate context: day exit / phase checkpoint.
Expected output / completion criteria: Matrix under datasets/; maps to WF A/B/C + ≥1 row per suite family; expected_answer_included=no</t>
        </is>
      </c>
      <c r="F24" s="3" t="inlineStr">
        <is>
          <t>FDE-5 (+FDE-2)</t>
        </is>
      </c>
      <c r="G24" s="3" t="inlineStr">
        <is>
          <t>High</t>
        </is>
      </c>
      <c r="H24" s="3" t="inlineStr">
        <is>
          <t>Not Started</t>
        </is>
      </c>
      <c r="I24" s="4" t="n">
        <v>46240</v>
      </c>
      <c r="J24" s="4" t="n">
        <v>46240</v>
      </c>
      <c r="K24" s="4" t="n"/>
      <c r="L24" s="3" t="inlineStr">
        <is>
          <t>D1-T8; D3-T2</t>
        </is>
      </c>
      <c r="M24" s="3" t="inlineStr"/>
      <c r="N24" s="5" t="n">
        <v>0</v>
      </c>
      <c r="O24" s="3" t="inlineStr">
        <is>
          <t>FDE-4</t>
        </is>
      </c>
      <c r="P24" s="3" t="inlineStr"/>
      <c r="Q24" s="3" t="inlineStr">
        <is>
          <t>§11.8 step 2</t>
        </is>
      </c>
      <c r="R24" s="3" t="inlineStr">
        <is>
          <t>Matrix under datasets/; maps to WF A/B/C + ≥1 row per suite family; expected_answer_included=no</t>
        </is>
      </c>
      <c r="S24" s="3" t="inlineStr"/>
      <c r="T24" s="3" t="inlineStr"/>
    </row>
    <row r="25" ht="78" customHeight="1">
      <c r="A25" s="6" t="inlineStr">
        <is>
          <t>D4</t>
        </is>
      </c>
      <c r="B25" s="6" t="inlineStr">
        <is>
          <t>P2 Domain / G2</t>
        </is>
      </c>
      <c r="C25" s="6" t="inlineStr">
        <is>
          <t>D4-T1</t>
        </is>
      </c>
      <c r="D25" s="6" t="inlineStr">
        <is>
          <t>Complete 07 + 08 (KG + simpler alternative)</t>
        </is>
      </c>
      <c r="E25" s="6" t="inlineStr">
        <is>
          <t>What to implement: Complete 07 + 08 (KG + simpler alternative)
Expected functionality: Finish ontology/KG artefacts. Artefact 08 must include simpler-alternative benchmark. No mandatory KG claim without evidence.
Important considerations: Work only under submission/; preserve immutable challenge evidence; Agents OFF until G4 PASS. FINAL ref §8 P2, §12, §20. Reviewer FDE-3 (author ≠ sole approver). Gate context: G2.
Expected output / completion criteria: 08 includes simpler-alternative benchmark; no mandatory KG claim without evidence</t>
        </is>
      </c>
      <c r="F25" s="6" t="inlineStr">
        <is>
          <t>FDE-2</t>
        </is>
      </c>
      <c r="G25" s="6" t="inlineStr">
        <is>
          <t>Critical</t>
        </is>
      </c>
      <c r="H25" s="6" t="inlineStr">
        <is>
          <t>Not Started</t>
        </is>
      </c>
      <c r="I25" s="7" t="n">
        <v>46241</v>
      </c>
      <c r="J25" s="7" t="n">
        <v>46241</v>
      </c>
      <c r="K25" s="7" t="n"/>
      <c r="L25" s="6" t="inlineStr">
        <is>
          <t>D3-T1</t>
        </is>
      </c>
      <c r="M25" s="6" t="inlineStr"/>
      <c r="N25" s="8" t="n">
        <v>0</v>
      </c>
      <c r="O25" s="6" t="inlineStr">
        <is>
          <t>FDE-3</t>
        </is>
      </c>
      <c r="P25" s="6" t="inlineStr">
        <is>
          <t>G2</t>
        </is>
      </c>
      <c r="Q25" s="6" t="inlineStr">
        <is>
          <t>§8 P2, §12, §20</t>
        </is>
      </c>
      <c r="R25" s="6" t="inlineStr">
        <is>
          <t>08 includes simpler-alternative benchmark; no mandatory KG claim without evidence</t>
        </is>
      </c>
      <c r="S25" s="6" t="inlineStr"/>
      <c r="T25" s="6" t="inlineStr"/>
    </row>
    <row r="26" ht="78" customHeight="1">
      <c r="A26" s="3" t="inlineStr">
        <is>
          <t>D4</t>
        </is>
      </c>
      <c r="B26" s="3" t="inlineStr">
        <is>
          <t>P2 Domain / G2</t>
        </is>
      </c>
      <c r="C26" s="3" t="inlineStr">
        <is>
          <t>D4-T2</t>
        </is>
      </c>
      <c r="D26" s="3" t="inlineStr">
        <is>
          <t>Inject register: all 84 off NOT_RUN or declared gap</t>
        </is>
      </c>
      <c r="E26" s="3" t="inlineStr">
        <is>
          <t>What to implement: Inject register: all 84 off NOT_RUN or declared gap
Expected functionality: Every inject row either planned/mapped or declared gap in RAID/manifest. Count must equal 84. Never delete or silently resolve challenge rows.
Important considerations: Work only under submission/; preserve immutable challenge evidence; Agents OFF until G4 PASS. FINAL ref §11.1. Reviewer FDE-1 (author ≠ sole approver). Gate context: G2.
Expected output / completion criteria: Count = 84; gaps in RAID/manifest; challenge CSV unmodified</t>
        </is>
      </c>
      <c r="F26" s="3" t="inlineStr">
        <is>
          <t>FDE-2</t>
        </is>
      </c>
      <c r="G26" s="3" t="inlineStr">
        <is>
          <t>Critical</t>
        </is>
      </c>
      <c r="H26" s="3" t="inlineStr">
        <is>
          <t>Not Started</t>
        </is>
      </c>
      <c r="I26" s="4" t="n">
        <v>46241</v>
      </c>
      <c r="J26" s="4" t="n">
        <v>46241</v>
      </c>
      <c r="K26" s="4" t="n"/>
      <c r="L26" s="3" t="inlineStr">
        <is>
          <t>D3-T2; D3-T7</t>
        </is>
      </c>
      <c r="M26" s="3" t="inlineStr"/>
      <c r="N26" s="5" t="n">
        <v>0</v>
      </c>
      <c r="O26" s="3" t="inlineStr">
        <is>
          <t>FDE-1</t>
        </is>
      </c>
      <c r="P26" s="3" t="inlineStr">
        <is>
          <t>G2</t>
        </is>
      </c>
      <c r="Q26" s="3" t="inlineStr">
        <is>
          <t>§11.1</t>
        </is>
      </c>
      <c r="R26" s="3" t="inlineStr">
        <is>
          <t>Count = 84; gaps in RAID/manifest; challenge CSV unmodified</t>
        </is>
      </c>
      <c r="S26" s="3" t="inlineStr"/>
      <c r="T26" s="3" t="inlineStr"/>
    </row>
    <row r="27" ht="78" customHeight="1">
      <c r="A27" s="6" t="inlineStr">
        <is>
          <t>D4</t>
        </is>
      </c>
      <c r="B27" s="6" t="inlineStr">
        <is>
          <t>P2 Domain / G2</t>
        </is>
      </c>
      <c r="C27" s="6" t="inlineStr">
        <is>
          <t>D4-T3</t>
        </is>
      </c>
      <c r="D27" s="6" t="inlineStr">
        <is>
          <t>RTM↔inject links; knowledge_catalog authority+hash stub</t>
        </is>
      </c>
      <c r="E27" s="6" t="inlineStr">
        <is>
          <t>What to implement: RTM↔inject links; knowledge_catalog authority+hash stub
Expected functionality: Link RTM IDs to injects. Stub catalog gate that rejects superseded/untrusted sources when hash/status fail. Record demo evidence.
Important considerations: Work only under submission/; preserve immutable challenge evidence; Agents OFF until G4 PASS. FINAL ref §13, §8 P2. Reviewer FDE-5 (author ≠ sole approver). Gate context: G2.
Expected output / completion criteria: Stub rejects superseded/untrusted when hash/status fail; demo recorded</t>
        </is>
      </c>
      <c r="F27" s="6" t="inlineStr">
        <is>
          <t>FDE-3</t>
        </is>
      </c>
      <c r="G27" s="6" t="inlineStr">
        <is>
          <t>Critical</t>
        </is>
      </c>
      <c r="H27" s="6" t="inlineStr">
        <is>
          <t>Not Started</t>
        </is>
      </c>
      <c r="I27" s="7" t="n">
        <v>46241</v>
      </c>
      <c r="J27" s="7" t="n">
        <v>46241</v>
      </c>
      <c r="K27" s="7" t="n"/>
      <c r="L27" s="6" t="inlineStr">
        <is>
          <t>D3-T3</t>
        </is>
      </c>
      <c r="M27" s="6" t="inlineStr"/>
      <c r="N27" s="8" t="n">
        <v>0</v>
      </c>
      <c r="O27" s="6" t="inlineStr">
        <is>
          <t>FDE-5</t>
        </is>
      </c>
      <c r="P27" s="6" t="inlineStr">
        <is>
          <t>G2</t>
        </is>
      </c>
      <c r="Q27" s="6" t="inlineStr">
        <is>
          <t>§13, §8 P2</t>
        </is>
      </c>
      <c r="R27" s="6" t="inlineStr">
        <is>
          <t>Stub rejects superseded/untrusted when hash/status fail; demo recorded</t>
        </is>
      </c>
      <c r="S27" s="6" t="inlineStr"/>
      <c r="T27" s="6" t="inlineStr"/>
    </row>
    <row r="28" ht="78" customHeight="1">
      <c r="A28" s="3" t="inlineStr">
        <is>
          <t>D4</t>
        </is>
      </c>
      <c r="B28" s="3" t="inlineStr">
        <is>
          <t>P2 Domain / G2</t>
        </is>
      </c>
      <c r="C28" s="3" t="inlineStr">
        <is>
          <t>D4-T4</t>
        </is>
      </c>
      <c r="D28" s="3" t="inlineStr">
        <is>
          <t>Independent conflict review (ID/unit/time/authority/lineage)</t>
        </is>
      </c>
      <c r="E28" s="3" t="inlineStr">
        <is>
          <t>What to implement: Independent conflict review (ID/unit/time/authority/lineage)
Expected functionality: G2 independent review: list open conflicts. Zero “cleaned” values presented as truth. Supports G2 pass criteria.
Important considerations: Work only under submission/; preserve immutable challenge evidence; Agents OFF until G4 PASS. FINAL ref §8.2 G2. Reviewer FDE-1 (author ≠ sole approver). Gate context: G2.
Expected output / completion criteria: Written list of open conflicts; zero cleaned values presented as truth</t>
        </is>
      </c>
      <c r="F28" s="3" t="inlineStr">
        <is>
          <t>FDE-4</t>
        </is>
      </c>
      <c r="G28" s="3" t="inlineStr">
        <is>
          <t>Critical</t>
        </is>
      </c>
      <c r="H28" s="3" t="inlineStr">
        <is>
          <t>Not Started</t>
        </is>
      </c>
      <c r="I28" s="4" t="n">
        <v>46241</v>
      </c>
      <c r="J28" s="4" t="n">
        <v>46241</v>
      </c>
      <c r="K28" s="4" t="n"/>
      <c r="L28" s="3" t="inlineStr">
        <is>
          <t>D4-T2</t>
        </is>
      </c>
      <c r="M28" s="3" t="inlineStr"/>
      <c r="N28" s="5" t="n">
        <v>0</v>
      </c>
      <c r="O28" s="3" t="inlineStr">
        <is>
          <t>FDE-1</t>
        </is>
      </c>
      <c r="P28" s="3" t="inlineStr">
        <is>
          <t>G2</t>
        </is>
      </c>
      <c r="Q28" s="3" t="inlineStr">
        <is>
          <t>§8.2 G2</t>
        </is>
      </c>
      <c r="R28" s="3" t="inlineStr">
        <is>
          <t>Written list of open conflicts; zero cleaned values presented as truth</t>
        </is>
      </c>
      <c r="S28" s="3" t="inlineStr"/>
      <c r="T28" s="3" t="inlineStr"/>
    </row>
    <row r="29" ht="78" customHeight="1">
      <c r="A29" s="6" t="inlineStr">
        <is>
          <t>D4</t>
        </is>
      </c>
      <c r="B29" s="6" t="inlineStr">
        <is>
          <t>P2 Domain / G2</t>
        </is>
      </c>
      <c r="C29" s="6" t="inlineStr">
        <is>
          <t>D4-T5</t>
        </is>
      </c>
      <c r="D29" s="6" t="inlineStr">
        <is>
          <t>Spot-check sensitive injects INJ-041/059–064</t>
        </is>
      </c>
      <c r="E29" s="6" t="inlineStr">
        <is>
          <t>What to implement: Spot-check sensitive injects INJ-041/059–064
Expected functionality: Deep-read sensitive privacy/access injects. Log findings and purpose/access limits for later privacy artefact and suites.
Important considerations: Work only under submission/; preserve immutable challenge evidence; Agents OFF until G4 PASS. FINAL ref §11.1. Reviewer FDE-4 (author ≠ sole approver). Gate context: G2.
Expected output / completion criteria: Findings logged; access/purpose limits noted</t>
        </is>
      </c>
      <c r="F29" s="6" t="inlineStr">
        <is>
          <t>FDE-5</t>
        </is>
      </c>
      <c r="G29" s="6" t="inlineStr">
        <is>
          <t>Critical</t>
        </is>
      </c>
      <c r="H29" s="6" t="inlineStr">
        <is>
          <t>Not Started</t>
        </is>
      </c>
      <c r="I29" s="7" t="n">
        <v>46241</v>
      </c>
      <c r="J29" s="7" t="n">
        <v>46241</v>
      </c>
      <c r="K29" s="7" t="n"/>
      <c r="L29" s="6" t="inlineStr">
        <is>
          <t>Prior day exit (D3); seat capacity</t>
        </is>
      </c>
      <c r="M29" s="6" t="inlineStr"/>
      <c r="N29" s="8" t="n">
        <v>0</v>
      </c>
      <c r="O29" s="6" t="inlineStr">
        <is>
          <t>FDE-4</t>
        </is>
      </c>
      <c r="P29" s="6" t="inlineStr">
        <is>
          <t>G2</t>
        </is>
      </c>
      <c r="Q29" s="6" t="inlineStr">
        <is>
          <t>§11.1</t>
        </is>
      </c>
      <c r="R29" s="6" t="inlineStr">
        <is>
          <t>Findings logged; access/purpose limits noted</t>
        </is>
      </c>
      <c r="S29" s="6" t="inlineStr"/>
      <c r="T29" s="6" t="inlineStr"/>
    </row>
    <row r="30" ht="78" customHeight="1">
      <c r="A30" s="3" t="inlineStr">
        <is>
          <t>D4</t>
        </is>
      </c>
      <c r="B30" s="3" t="inlineStr">
        <is>
          <t>P2 Domain / G2</t>
        </is>
      </c>
      <c r="C30" s="3" t="inlineStr">
        <is>
          <t>D4-T6</t>
        </is>
      </c>
      <c r="D30" s="3" t="inlineStr">
        <is>
          <t>Business challenge to unjustified KG</t>
        </is>
      </c>
      <c r="E30" s="3" t="inlineStr">
        <is>
          <t>What to implement: Business challenge to unjustified KG
Expected functionality: Challenge any KG scope that lacks value evidence. Accept/reject with rationale recorded for innovation slot / artefact 08.
Important considerations: Work only under submission/; preserve immutable challenge evidence; Agents OFF until G4 PASS. FINAL ref §20, §8.2. Reviewer FDE-2 (author ≠ sole approver). Gate context: G2.
Expected output / completion criteria: Review note accept/reject KG scope with rationale</t>
        </is>
      </c>
      <c r="F30" s="3" t="inlineStr">
        <is>
          <t>FDE-1</t>
        </is>
      </c>
      <c r="G30" s="3" t="inlineStr">
        <is>
          <t>Critical</t>
        </is>
      </c>
      <c r="H30" s="3" t="inlineStr">
        <is>
          <t>Not Started</t>
        </is>
      </c>
      <c r="I30" s="4" t="n">
        <v>46241</v>
      </c>
      <c r="J30" s="4" t="n">
        <v>46241</v>
      </c>
      <c r="K30" s="4" t="n"/>
      <c r="L30" s="3" t="inlineStr">
        <is>
          <t>Prior day exit (D3); seat capacity</t>
        </is>
      </c>
      <c r="M30" s="3" t="inlineStr"/>
      <c r="N30" s="5" t="n">
        <v>0</v>
      </c>
      <c r="O30" s="3" t="inlineStr">
        <is>
          <t>FDE-2</t>
        </is>
      </c>
      <c r="P30" s="3" t="inlineStr">
        <is>
          <t>G2</t>
        </is>
      </c>
      <c r="Q30" s="3" t="inlineStr">
        <is>
          <t>§20, §8.2</t>
        </is>
      </c>
      <c r="R30" s="3" t="inlineStr">
        <is>
          <t>Review note accept/reject KG scope with rationale</t>
        </is>
      </c>
      <c r="S30" s="3" t="inlineStr"/>
      <c r="T30" s="3" t="inlineStr"/>
    </row>
    <row r="31" ht="78" customHeight="1">
      <c r="A31" s="6" t="inlineStr">
        <is>
          <t>D5</t>
        </is>
      </c>
      <c r="B31" s="6" t="inlineStr">
        <is>
          <t>P3 Architecture / G3</t>
        </is>
      </c>
      <c r="C31" s="6" t="inlineStr">
        <is>
          <t>D5-T1</t>
        </is>
      </c>
      <c r="D31" s="6" t="inlineStr">
        <is>
          <t>Artefacts 10 C4, 11 ADRs (≥10), 12 contracts</t>
        </is>
      </c>
      <c r="E31" s="6" t="inlineStr">
        <is>
          <t>What to implement: Artefacts 10 C4, 11 ADRs (≥10), 12 contracts
Expected functionality: Produce C4 views, ≥10 ADRs, contract design reconciled to evaluation/contracts schemas. Address brownfield and rollback.
Important considerations: Work only under submission/; preserve immutable challenge evidence; Agents OFF until G4 PASS. FINAL ref §8 P3, §12. Reviewer FDE-5 (10–12), FDE-4 (GxP claims) (author ≠ sole approver). Gate context: G3.
Expected output / completion criteria: ≥10 ADRs; 12 reconciles with evaluation/contracts/*.schema.json; brownfield/rollback addressed</t>
        </is>
      </c>
      <c r="F31" s="6" t="inlineStr">
        <is>
          <t>FDE-3</t>
        </is>
      </c>
      <c r="G31" s="6" t="inlineStr">
        <is>
          <t>Critical</t>
        </is>
      </c>
      <c r="H31" s="6" t="inlineStr">
        <is>
          <t>Not Started</t>
        </is>
      </c>
      <c r="I31" s="7" t="n">
        <v>46242</v>
      </c>
      <c r="J31" s="7" t="n">
        <v>46242</v>
      </c>
      <c r="K31" s="7" t="n"/>
      <c r="L31" s="6" t="inlineStr">
        <is>
          <t>G2 (D4)</t>
        </is>
      </c>
      <c r="M31" s="6" t="inlineStr"/>
      <c r="N31" s="8" t="n">
        <v>0</v>
      </c>
      <c r="O31" s="6" t="inlineStr">
        <is>
          <t>FDE-5 (10–12), FDE-4 (GxP claims)</t>
        </is>
      </c>
      <c r="P31" s="6" t="inlineStr">
        <is>
          <t>G3</t>
        </is>
      </c>
      <c r="Q31" s="6" t="inlineStr">
        <is>
          <t>§8 P3, §12</t>
        </is>
      </c>
      <c r="R31" s="6" t="inlineStr">
        <is>
          <t>≥10 ADRs; 12 reconciles with evaluation/contracts/*.schema.json; brownfield/rollback addressed</t>
        </is>
      </c>
      <c r="S31" s="6" t="inlineStr"/>
      <c r="T31" s="6" t="inlineStr"/>
    </row>
    <row r="32" ht="78" customHeight="1">
      <c r="A32" s="3" t="inlineStr">
        <is>
          <t>D5</t>
        </is>
      </c>
      <c r="B32" s="3" t="inlineStr">
        <is>
          <t>P3 Architecture / G3</t>
        </is>
      </c>
      <c r="C32" s="3" t="inlineStr">
        <is>
          <t>D5-T2</t>
        </is>
      </c>
      <c r="D32" s="3" t="inlineStr">
        <is>
          <t>Shared evidence-resolver (SHA-256 + source_preserved)</t>
        </is>
      </c>
      <c r="E32" s="3" t="inlineStr">
        <is>
          <t>What to implement: Shared evidence-resolver (SHA-256 + source_preserved)
Expected functionality: Implement shared resolver emitting valid evidence_item fields. Real SHA-256 (64-hex). source_preserved=true. Used by all workflows.
Important considerations: Work only under submission/; preserve immutable challenge evidence; Agents OFF until G4 PASS. FINAL ref §11.3, §13. Reviewer FDE-5 (author ≠ sole approver). Gate context: G3.
Expected output / completion criteria: Emits valid evidence_item fields; hash is real 64-hex; source_preserved=true</t>
        </is>
      </c>
      <c r="F32" s="3" t="inlineStr">
        <is>
          <t>FDE-3</t>
        </is>
      </c>
      <c r="G32" s="3" t="inlineStr">
        <is>
          <t>Critical</t>
        </is>
      </c>
      <c r="H32" s="3" t="inlineStr">
        <is>
          <t>Not Started</t>
        </is>
      </c>
      <c r="I32" s="4" t="n">
        <v>46242</v>
      </c>
      <c r="J32" s="4" t="n">
        <v>46242</v>
      </c>
      <c r="K32" s="4" t="n"/>
      <c r="L32" s="3" t="inlineStr">
        <is>
          <t>D5-T1</t>
        </is>
      </c>
      <c r="M32" s="3" t="inlineStr"/>
      <c r="N32" s="5" t="n">
        <v>0</v>
      </c>
      <c r="O32" s="3" t="inlineStr">
        <is>
          <t>FDE-5</t>
        </is>
      </c>
      <c r="P32" s="3" t="inlineStr">
        <is>
          <t>G3</t>
        </is>
      </c>
      <c r="Q32" s="3" t="inlineStr">
        <is>
          <t>§11.3, §13</t>
        </is>
      </c>
      <c r="R32" s="3" t="inlineStr">
        <is>
          <t>Emits valid evidence_item fields; hash is real 64-hex; source_preserved=true</t>
        </is>
      </c>
      <c r="S32" s="3" t="inlineStr"/>
      <c r="T32" s="3" t="inlineStr"/>
    </row>
    <row r="33" ht="78" customHeight="1">
      <c r="A33" s="6" t="inlineStr">
        <is>
          <t>D5</t>
        </is>
      </c>
      <c r="B33" s="6" t="inlineStr">
        <is>
          <t>P3 Architecture / G3</t>
        </is>
      </c>
      <c r="C33" s="6" t="inlineStr">
        <is>
          <t>D5-T3</t>
        </is>
      </c>
      <c r="D33" s="6" t="inlineStr">
        <is>
          <t>python -B tools/test_contracts.py green</t>
        </is>
      </c>
      <c r="E33" s="6" t="inlineStr">
        <is>
          <t>What to implement: python -B tools/test_contracts.py green
Expected functionality: Run contract tester continuously. Must show 3 positive valid and 3 negative invalid samples behaving correctly.
Important considerations: Work only under submission/; preserve immutable challenge evidence; Agents OFF until G4 PASS. FINAL ref §4.2, §13. Reviewer FDE-5 (author ≠ sole approver). Gate context: G3.
Expected output / completion criteria: 3 positive valid; 3 negative invalid</t>
        </is>
      </c>
      <c r="F33" s="6" t="inlineStr">
        <is>
          <t>FDE-3</t>
        </is>
      </c>
      <c r="G33" s="6" t="inlineStr">
        <is>
          <t>Critical</t>
        </is>
      </c>
      <c r="H33" s="6" t="inlineStr">
        <is>
          <t>Not Started</t>
        </is>
      </c>
      <c r="I33" s="7" t="n">
        <v>46242</v>
      </c>
      <c r="J33" s="7" t="n">
        <v>46242</v>
      </c>
      <c r="K33" s="7" t="n"/>
      <c r="L33" s="6" t="inlineStr">
        <is>
          <t>D5-T1; D5-T2</t>
        </is>
      </c>
      <c r="M33" s="6" t="inlineStr"/>
      <c r="N33" s="8" t="n">
        <v>0</v>
      </c>
      <c r="O33" s="6" t="inlineStr">
        <is>
          <t>FDE-5</t>
        </is>
      </c>
      <c r="P33" s="6" t="inlineStr">
        <is>
          <t>G3</t>
        </is>
      </c>
      <c r="Q33" s="6" t="inlineStr">
        <is>
          <t>§4.2, §13</t>
        </is>
      </c>
      <c r="R33" s="6" t="inlineStr">
        <is>
          <t>3 positive valid; 3 negative invalid</t>
        </is>
      </c>
      <c r="S33" s="6" t="inlineStr"/>
      <c r="T33" s="6" t="inlineStr"/>
    </row>
    <row r="34" ht="78" customHeight="1">
      <c r="A34" s="3" t="inlineStr">
        <is>
          <t>D5</t>
        </is>
      </c>
      <c r="B34" s="3" t="inlineStr">
        <is>
          <t>P3 Architecture / G3</t>
        </is>
      </c>
      <c r="C34" s="3" t="inlineStr">
        <is>
          <t>D5-T4</t>
        </is>
      </c>
      <c r="D34" s="3" t="inlineStr">
        <is>
          <t>Draft 13–15 GxP/CSA/QRM</t>
        </is>
      </c>
      <c r="E34" s="3" t="inlineStr">
        <is>
          <t>What to implement: Draft 13–15 GxP/CSA/QRM
Expected functionality: Intended use + GxP boundary. Risk→control→test chains. Address hard-gate RUB-09. Keep AI advisory only.
Important considerations: Work only under submission/; preserve immutable challenge evidence; Agents OFF until G4 PASS. FINAL ref §8 P3, §12. Reviewer FDE-5 (author ≠ sole approver). Gate context: G3.
Expected output / completion criteria: Intended use + GxP boundary; risks→controls→tests; hard-gate RUB-09</t>
        </is>
      </c>
      <c r="F34" s="3" t="inlineStr">
        <is>
          <t>FDE-4</t>
        </is>
      </c>
      <c r="G34" s="3" t="inlineStr">
        <is>
          <t>Critical</t>
        </is>
      </c>
      <c r="H34" s="3" t="inlineStr">
        <is>
          <t>Not Started</t>
        </is>
      </c>
      <c r="I34" s="4" t="n">
        <v>46242</v>
      </c>
      <c r="J34" s="4" t="n">
        <v>46242</v>
      </c>
      <c r="K34" s="4" t="n"/>
      <c r="L34" s="3" t="inlineStr">
        <is>
          <t>Prior day exit (D4); seat capacity</t>
        </is>
      </c>
      <c r="M34" s="3" t="inlineStr"/>
      <c r="N34" s="5" t="n">
        <v>0</v>
      </c>
      <c r="O34" s="3" t="inlineStr">
        <is>
          <t>FDE-5</t>
        </is>
      </c>
      <c r="P34" s="3" t="inlineStr">
        <is>
          <t>G3</t>
        </is>
      </c>
      <c r="Q34" s="3" t="inlineStr">
        <is>
          <t>§8 P3, §12</t>
        </is>
      </c>
      <c r="R34" s="3" t="inlineStr">
        <is>
          <t>Intended use + GxP boundary; risks→controls→tests; hard-gate RUB-09</t>
        </is>
      </c>
      <c r="S34" s="3" t="inlineStr"/>
      <c r="T34" s="3" t="inlineStr"/>
    </row>
    <row r="35" ht="78" customHeight="1">
      <c r="A35" s="6" t="inlineStr">
        <is>
          <t>D5</t>
        </is>
      </c>
      <c r="B35" s="6" t="inlineStr">
        <is>
          <t>P3 Architecture / G3</t>
        </is>
      </c>
      <c r="C35" s="6" t="inlineStr">
        <is>
          <t>D5-T5</t>
        </is>
      </c>
      <c r="D35" s="6" t="inlineStr">
        <is>
          <t>Threat skeleton; confirm negatives still fail closed</t>
        </is>
      </c>
      <c r="E35" s="6" t="inlineStr">
        <is>
          <t>What to implement: Threat skeleton; confirm negatives still fail closed
Expected functionality: Skeleton threat model. Confirm disposition/reportability/side-effect samples still rejected by contracts.
Important considerations: Work only under submission/; preserve immutable challenge evidence; Agents OFF until G4 PASS. FINAL ref §8 P3. Reviewer FDE-2 (author ≠ sole approver). Gate context: G3.
Expected output / completion criteria: Disposition/reportability/side-effect samples still rejected</t>
        </is>
      </c>
      <c r="F35" s="6" t="inlineStr">
        <is>
          <t>FDE-5</t>
        </is>
      </c>
      <c r="G35" s="6" t="inlineStr">
        <is>
          <t>Critical</t>
        </is>
      </c>
      <c r="H35" s="6" t="inlineStr">
        <is>
          <t>Not Started</t>
        </is>
      </c>
      <c r="I35" s="7" t="n">
        <v>46242</v>
      </c>
      <c r="J35" s="7" t="n">
        <v>46242</v>
      </c>
      <c r="K35" s="7" t="n"/>
      <c r="L35" s="6" t="inlineStr">
        <is>
          <t>Prior day exit (D4); seat capacity</t>
        </is>
      </c>
      <c r="M35" s="6" t="inlineStr"/>
      <c r="N35" s="8" t="n">
        <v>0</v>
      </c>
      <c r="O35" s="6" t="inlineStr">
        <is>
          <t>FDE-2</t>
        </is>
      </c>
      <c r="P35" s="6" t="inlineStr">
        <is>
          <t>G3</t>
        </is>
      </c>
      <c r="Q35" s="6" t="inlineStr">
        <is>
          <t>§8 P3</t>
        </is>
      </c>
      <c r="R35" s="6" t="inlineStr">
        <is>
          <t>Disposition/reportability/side-effect samples still rejected</t>
        </is>
      </c>
      <c r="S35" s="6" t="inlineStr"/>
      <c r="T35" s="6" t="inlineStr"/>
    </row>
    <row r="36" ht="78" customHeight="1">
      <c r="A36" s="3" t="inlineStr">
        <is>
          <t>D5</t>
        </is>
      </c>
      <c r="B36" s="3" t="inlineStr">
        <is>
          <t>P3 Architecture / G3</t>
        </is>
      </c>
      <c r="C36" s="3" t="inlineStr">
        <is>
          <t>D5-T6</t>
        </is>
      </c>
      <c r="D36" s="3" t="inlineStr">
        <is>
          <t>Domain rules for resolver; contract vs batch/PV facts</t>
        </is>
      </c>
      <c r="E36" s="3" t="inlineStr">
        <is>
          <t>What to implement: Domain rules for resolver; contract vs batch/PV facts
Expected functionality: Map required schema fields to evidence sources for batch and PV. No silent unit/time conversion.
Important considerations: Work only under submission/; preserve immutable challenge evidence; Agents OFF until G4 PASS. FINAL ref §13. Reviewer FDE-3 (author ≠ sole approver). Gate context: G3.
Expected output / completion criteria: Written mapping of required schema fields to sources</t>
        </is>
      </c>
      <c r="F36" s="3" t="inlineStr">
        <is>
          <t>FDE-2</t>
        </is>
      </c>
      <c r="G36" s="3" t="inlineStr">
        <is>
          <t>Critical</t>
        </is>
      </c>
      <c r="H36" s="3" t="inlineStr">
        <is>
          <t>Not Started</t>
        </is>
      </c>
      <c r="I36" s="4" t="n">
        <v>46242</v>
      </c>
      <c r="J36" s="4" t="n">
        <v>46242</v>
      </c>
      <c r="K36" s="4" t="n"/>
      <c r="L36" s="3" t="inlineStr">
        <is>
          <t>Prior day exit (D4); seat capacity</t>
        </is>
      </c>
      <c r="M36" s="3" t="inlineStr"/>
      <c r="N36" s="5" t="n">
        <v>0</v>
      </c>
      <c r="O36" s="3" t="inlineStr">
        <is>
          <t>FDE-3</t>
        </is>
      </c>
      <c r="P36" s="3" t="inlineStr">
        <is>
          <t>G3</t>
        </is>
      </c>
      <c r="Q36" s="3" t="inlineStr">
        <is>
          <t>§13</t>
        </is>
      </c>
      <c r="R36" s="3" t="inlineStr">
        <is>
          <t>Written mapping of required schema fields to sources</t>
        </is>
      </c>
      <c r="S36" s="3" t="inlineStr"/>
      <c r="T36" s="3" t="inlineStr"/>
    </row>
    <row r="37" ht="78" customHeight="1">
      <c r="A37" s="6" t="inlineStr">
        <is>
          <t>D5</t>
        </is>
      </c>
      <c r="B37" s="6" t="inlineStr">
        <is>
          <t>P3 Architecture / G3</t>
        </is>
      </c>
      <c r="C37" s="6" t="inlineStr">
        <is>
          <t>D5-T7</t>
        </is>
      </c>
      <c r="D37" s="6" t="inlineStr">
        <is>
          <t>Ops fit review of C4/ADR; ban adaptive undeclared transforms</t>
        </is>
      </c>
      <c r="E37" s="6" t="inlineStr">
        <is>
          <t>What to implement: Ops fit review of C4/ADR; ban adaptive undeclared transforms
Expected functionality: Biostats/ops lens: ban adaptive undeclared transforms. Record finding; accept in ADR or RAID.
Important considerations: Work only under submission/; preserve immutable challenge evidence; Agents OFF until G4 PASS. FINAL ref §6.3 Biostats. Reviewer FDE-3 (author ≠ sole approver). Gate context: G3.
Expected output / completion criteria: Review finding recorded; constraint accepted in ADR or RAID</t>
        </is>
      </c>
      <c r="F37" s="6" t="inlineStr">
        <is>
          <t>FDE-1</t>
        </is>
      </c>
      <c r="G37" s="6" t="inlineStr">
        <is>
          <t>Critical</t>
        </is>
      </c>
      <c r="H37" s="6" t="inlineStr">
        <is>
          <t>Not Started</t>
        </is>
      </c>
      <c r="I37" s="7" t="n">
        <v>46242</v>
      </c>
      <c r="J37" s="7" t="n">
        <v>46242</v>
      </c>
      <c r="K37" s="7" t="n"/>
      <c r="L37" s="6" t="inlineStr">
        <is>
          <t>Prior day exit (D4); seat capacity</t>
        </is>
      </c>
      <c r="M37" s="6" t="inlineStr"/>
      <c r="N37" s="8" t="n">
        <v>0</v>
      </c>
      <c r="O37" s="6" t="inlineStr">
        <is>
          <t>FDE-3</t>
        </is>
      </c>
      <c r="P37" s="6" t="inlineStr">
        <is>
          <t>G3</t>
        </is>
      </c>
      <c r="Q37" s="6" t="inlineStr">
        <is>
          <t>§6.3 Biostats</t>
        </is>
      </c>
      <c r="R37" s="6" t="inlineStr">
        <is>
          <t>Review finding recorded; constraint accepted in ADR or RAID</t>
        </is>
      </c>
      <c r="S37" s="6" t="inlineStr"/>
      <c r="T37" s="6" t="inlineStr"/>
    </row>
    <row r="38" ht="78" customHeight="1">
      <c r="A38" s="3" t="inlineStr">
        <is>
          <t>D5</t>
        </is>
      </c>
      <c r="B38" s="3" t="inlineStr">
        <is>
          <t>P3 Architecture / G3</t>
        </is>
      </c>
      <c r="C38" s="3" t="inlineStr">
        <is>
          <t>D5-T8</t>
        </is>
      </c>
      <c r="D38" s="3" t="inlineStr">
        <is>
          <t>Eval step 3: create offline eval tree</t>
        </is>
      </c>
      <c r="E38" s="3" t="inlineStr">
        <is>
          <t>What to implement: Eval step 3: create offline eval tree
Expected functionality: Create submission/evaluation/{datasets,adapters,graders,policies,reports}/ + runner.py + README.md. README states brownfield→adapter→runner→graders→policies→reports. Runner stub callable.
Important considerations: Work only under submission/; preserve immutable challenge evidence; Agents OFF until G4 PASS. FINAL ref §11.8 step 3, §7.2. Reviewer FDE-4 (author ≠ sole approver). Gate context: G3.
Expected output / completion criteria: All seven entries exist; README states flow; runner stub callable</t>
        </is>
      </c>
      <c r="F38" s="3" t="inlineStr">
        <is>
          <t>FDE-5 (+FDE-3)</t>
        </is>
      </c>
      <c r="G38" s="3" t="inlineStr">
        <is>
          <t>Critical</t>
        </is>
      </c>
      <c r="H38" s="3" t="inlineStr">
        <is>
          <t>Not Started</t>
        </is>
      </c>
      <c r="I38" s="4" t="n">
        <v>46242</v>
      </c>
      <c r="J38" s="4" t="n">
        <v>46242</v>
      </c>
      <c r="K38" s="4" t="n"/>
      <c r="L38" s="3" t="inlineStr">
        <is>
          <t>D3-T7; D5-T1</t>
        </is>
      </c>
      <c r="M38" s="3" t="inlineStr"/>
      <c r="N38" s="5" t="n">
        <v>0</v>
      </c>
      <c r="O38" s="3" t="inlineStr">
        <is>
          <t>FDE-4</t>
        </is>
      </c>
      <c r="P38" s="3" t="inlineStr">
        <is>
          <t>G3</t>
        </is>
      </c>
      <c r="Q38" s="3" t="inlineStr">
        <is>
          <t>§11.8 step 3, §7.2</t>
        </is>
      </c>
      <c r="R38" s="3" t="inlineStr">
        <is>
          <t>All seven entries exist; README states flow; runner stub callable</t>
        </is>
      </c>
      <c r="S38" s="3" t="inlineStr"/>
      <c r="T38" s="3" t="inlineStr"/>
    </row>
    <row r="39" ht="78" customHeight="1">
      <c r="A39" s="6" t="inlineStr">
        <is>
          <t>D5</t>
        </is>
      </c>
      <c r="B39" s="6" t="inlineStr">
        <is>
          <t>P3 Architecture / G3</t>
        </is>
      </c>
      <c r="C39" s="6" t="inlineStr">
        <is>
          <t>D5-T9</t>
        </is>
      </c>
      <c r="D39" s="6" t="inlineStr">
        <is>
          <t>Policies stub: map ten release gates + hard gates</t>
        </is>
      </c>
      <c r="E39" s="6" t="inlineStr">
        <is>
          <t>What to implement: Policies stub: map ten release gates + hard gates
Expected functionality: Document/code automatic-fail rules for ten release gates and hard gates under evaluation/policies/. Each hard gate named.
Important considerations: Work only under submission/; preserve immutable challenge evidence; Agents OFF until G4 PASS. FINAL ref §11.5, §11.8. Reviewer FDE-5 (author ≠ sole approver). Gate context: G3.
Expected output / completion criteria: policies/ has ≥1 rule file; each hard gate named</t>
        </is>
      </c>
      <c r="F39" s="6" t="inlineStr">
        <is>
          <t>FDE-4 (+FDE-5)</t>
        </is>
      </c>
      <c r="G39" s="6" t="inlineStr">
        <is>
          <t>Critical</t>
        </is>
      </c>
      <c r="H39" s="6" t="inlineStr">
        <is>
          <t>Not Started</t>
        </is>
      </c>
      <c r="I39" s="7" t="n">
        <v>46242</v>
      </c>
      <c r="J39" s="7" t="n">
        <v>46242</v>
      </c>
      <c r="K39" s="7" t="n"/>
      <c r="L39" s="6" t="inlineStr">
        <is>
          <t>D5-T8</t>
        </is>
      </c>
      <c r="M39" s="6" t="inlineStr"/>
      <c r="N39" s="8" t="n">
        <v>0</v>
      </c>
      <c r="O39" s="6" t="inlineStr">
        <is>
          <t>FDE-5</t>
        </is>
      </c>
      <c r="P39" s="6" t="inlineStr">
        <is>
          <t>G3</t>
        </is>
      </c>
      <c r="Q39" s="6" t="inlineStr">
        <is>
          <t>§11.5, §11.8</t>
        </is>
      </c>
      <c r="R39" s="6" t="inlineStr">
        <is>
          <t>policies/ has ≥1 rule file; each hard gate named</t>
        </is>
      </c>
      <c r="S39" s="6" t="inlineStr"/>
      <c r="T39" s="6" t="inlineStr"/>
    </row>
    <row r="40" ht="78" customHeight="1">
      <c r="A40" s="3" t="inlineStr">
        <is>
          <t>D6</t>
        </is>
      </c>
      <c r="B40" s="3" t="inlineStr">
        <is>
          <t>P4 Secure design</t>
        </is>
      </c>
      <c r="C40" s="3" t="inlineStr">
        <is>
          <t>D6-T1</t>
        </is>
      </c>
      <c r="D40" s="3" t="inlineStr">
        <is>
          <t>Draft 16 Threat + 17 Privacy</t>
        </is>
      </c>
      <c r="E40" s="3" t="inlineStr">
        <is>
          <t>What to implement: Draft 16 Threat + 17 Privacy
Expected functionality: Cover injection, poisoning, tool abuse, stale auth, exfil, DoW; purpose limitation. Address hard-gates RUB-10/11.
Important considerations: Work only under submission/; preserve immutable challenge evidence; Agents OFF until G4 PASS. FINAL ref §8 P4, §12. Reviewer FDE-4 (author ≠ sole approver). Gate context: day exit / phase checkpoint.
Expected output / completion criteria: Covers injection/poisoning/tool abuse/stale auth/exfil/DoW; purpose limitation; hard-gates RUB-10/11</t>
        </is>
      </c>
      <c r="F40" s="3" t="inlineStr">
        <is>
          <t>FDE-5</t>
        </is>
      </c>
      <c r="G40" s="3" t="inlineStr">
        <is>
          <t>High</t>
        </is>
      </c>
      <c r="H40" s="3" t="inlineStr">
        <is>
          <t>Not Started</t>
        </is>
      </c>
      <c r="I40" s="4" t="n">
        <v>46243</v>
      </c>
      <c r="J40" s="4" t="n">
        <v>46243</v>
      </c>
      <c r="K40" s="4" t="n"/>
      <c r="L40" s="3" t="inlineStr">
        <is>
          <t>G3 (D5)</t>
        </is>
      </c>
      <c r="M40" s="3" t="inlineStr"/>
      <c r="N40" s="5" t="n">
        <v>0</v>
      </c>
      <c r="O40" s="3" t="inlineStr">
        <is>
          <t>FDE-4</t>
        </is>
      </c>
      <c r="P40" s="3" t="inlineStr"/>
      <c r="Q40" s="3" t="inlineStr">
        <is>
          <t>§8 P4, §12</t>
        </is>
      </c>
      <c r="R40" s="3" t="inlineStr">
        <is>
          <t>Covers injection/poisoning/tool abuse/stale auth/exfil/DoW; purpose limitation; hard-gates RUB-10/11</t>
        </is>
      </c>
      <c r="S40" s="3" t="inlineStr"/>
      <c r="T40" s="3" t="inlineStr"/>
    </row>
    <row r="41" ht="78" customHeight="1">
      <c r="A41" s="6" t="inlineStr">
        <is>
          <t>D6</t>
        </is>
      </c>
      <c r="B41" s="6" t="inlineStr">
        <is>
          <t>P4 Secure design</t>
        </is>
      </c>
      <c r="C41" s="6" t="inlineStr">
        <is>
          <t>D6-T2</t>
        </is>
      </c>
      <c r="D41" s="6" t="inlineStr">
        <is>
          <t>Write failing prohibited-action + stale-auth tests (INJ-065/066/067)</t>
        </is>
      </c>
      <c r="E41" s="6" t="inlineStr">
        <is>
          <t>What to implement: Write failing prohibited-action + stale-auth tests (INJ-065/066/067)
Expected functionality: Tests-before-inference: write failing tests for poisoned/unsigned tools and stale auth BEFORE workflow implementation. Fail for the right reason.
Important considerations: Work only under submission/; preserve immutable challenge evidence; Agents OFF until G4 PASS. FINAL ref §8 P4, non-negotiable #4. Reviewer FDE-3 (author ≠ sole approver). Gate context: day exit / phase checkpoint.
Expected output / completion criteria: Tests exist before WF implementation; fail for correct reason; evidence paths set</t>
        </is>
      </c>
      <c r="F41" s="6" t="inlineStr">
        <is>
          <t>FDE-5</t>
        </is>
      </c>
      <c r="G41" s="6" t="inlineStr">
        <is>
          <t>High</t>
        </is>
      </c>
      <c r="H41" s="6" t="inlineStr">
        <is>
          <t>Not Started</t>
        </is>
      </c>
      <c r="I41" s="7" t="n">
        <v>46243</v>
      </c>
      <c r="J41" s="7" t="n">
        <v>46243</v>
      </c>
      <c r="K41" s="7" t="n"/>
      <c r="L41" s="6" t="inlineStr">
        <is>
          <t>D6-T1; D1-T6</t>
        </is>
      </c>
      <c r="M41" s="6" t="inlineStr"/>
      <c r="N41" s="8" t="n">
        <v>0</v>
      </c>
      <c r="O41" s="6" t="inlineStr">
        <is>
          <t>FDE-3</t>
        </is>
      </c>
      <c r="P41" s="6" t="inlineStr"/>
      <c r="Q41" s="6" t="inlineStr">
        <is>
          <t>§8 P4, non-negotiable #4</t>
        </is>
      </c>
      <c r="R41" s="6" t="inlineStr">
        <is>
          <t>Tests exist before WF implementation; fail for correct reason; evidence paths set</t>
        </is>
      </c>
      <c r="S41" s="6" t="inlineStr"/>
      <c r="T41" s="6" t="inlineStr"/>
    </row>
    <row r="42" ht="78" customHeight="1">
      <c r="A42" s="3" t="inlineStr">
        <is>
          <t>D6</t>
        </is>
      </c>
      <c r="B42" s="3" t="inlineStr">
        <is>
          <t>P4 Secure design</t>
        </is>
      </c>
      <c r="C42" s="3" t="inlineStr">
        <is>
          <t>D6-T3</t>
        </is>
      </c>
      <c r="D42" s="3" t="inlineStr">
        <is>
          <t>Approved vs poisoned tool manifests; signed allowlist; no agent coding</t>
        </is>
      </c>
      <c r="E42" s="3" t="inlineStr">
        <is>
          <t>What to implement: Approved vs poisoned tool manifests; signed allowlist; no agent coding
Expected functionality: Design signed allowlist and deny path for unsigned/poisoned tools. Confirm agents still OFF (pre-G4).
Important considerations: Work only under submission/; preserve immutable challenge evidence; Agents OFF until G4 PASS. FINAL ref §13, agent freeze. Reviewer FDE-5 (author ≠ sole approver). Gate context: day exit / phase checkpoint.
Expected output / completion criteria: Design denies unsigned/poisoned tools; confirmation agents still OFF</t>
        </is>
      </c>
      <c r="F42" s="3" t="inlineStr">
        <is>
          <t>FDE-3</t>
        </is>
      </c>
      <c r="G42" s="3" t="inlineStr">
        <is>
          <t>High</t>
        </is>
      </c>
      <c r="H42" s="3" t="inlineStr">
        <is>
          <t>Not Started</t>
        </is>
      </c>
      <c r="I42" s="4" t="n">
        <v>46243</v>
      </c>
      <c r="J42" s="4" t="n">
        <v>46243</v>
      </c>
      <c r="K42" s="4" t="n"/>
      <c r="L42" s="3" t="inlineStr">
        <is>
          <t>Prior day exit (D5); seat capacity</t>
        </is>
      </c>
      <c r="M42" s="3" t="inlineStr"/>
      <c r="N42" s="5" t="n">
        <v>0</v>
      </c>
      <c r="O42" s="3" t="inlineStr">
        <is>
          <t>FDE-5</t>
        </is>
      </c>
      <c r="P42" s="3" t="inlineStr"/>
      <c r="Q42" s="3" t="inlineStr">
        <is>
          <t>§13, agent freeze</t>
        </is>
      </c>
      <c r="R42" s="3" t="inlineStr">
        <is>
          <t>Design denies unsigned/poisoned tools; confirmation agents still OFF</t>
        </is>
      </c>
      <c r="S42" s="3" t="inlineStr"/>
      <c r="T42" s="3" t="inlineStr"/>
    </row>
    <row r="43" ht="78" customHeight="1">
      <c r="A43" s="6" t="inlineStr">
        <is>
          <t>D6</t>
        </is>
      </c>
      <c r="B43" s="6" t="inlineStr">
        <is>
          <t>P4 Secure design</t>
        </is>
      </c>
      <c r="C43" s="6" t="inlineStr">
        <is>
          <t>D6-T4</t>
        </is>
      </c>
      <c r="D43" s="6" t="inlineStr">
        <is>
          <t>Residual risk register start; GxP impact of controls</t>
        </is>
      </c>
      <c r="E43" s="6" t="inlineStr">
        <is>
          <t>What to implement: Residual risk register start; GxP impact of controls
Expected functionality: Start residual risk list with owners. No unverified acceptance of residual GxP risk.
Important considerations: Work only under submission/; preserve immutable challenge evidence; Agents OFF until G4 PASS. FINAL ref §8 P4. Reviewer FDE-5 (author ≠ sole approver). Gate context: day exit / phase checkpoint.
Expected output / completion criteria: Residual risks listed with owners; no unverified acceptance</t>
        </is>
      </c>
      <c r="F43" s="6" t="inlineStr">
        <is>
          <t>FDE-4</t>
        </is>
      </c>
      <c r="G43" s="6" t="inlineStr">
        <is>
          <t>High</t>
        </is>
      </c>
      <c r="H43" s="6" t="inlineStr">
        <is>
          <t>Not Started</t>
        </is>
      </c>
      <c r="I43" s="7" t="n">
        <v>46243</v>
      </c>
      <c r="J43" s="7" t="n">
        <v>46243</v>
      </c>
      <c r="K43" s="7" t="n"/>
      <c r="L43" s="6" t="inlineStr">
        <is>
          <t>Prior day exit (D5); seat capacity</t>
        </is>
      </c>
      <c r="M43" s="6" t="inlineStr"/>
      <c r="N43" s="8" t="n">
        <v>0</v>
      </c>
      <c r="O43" s="6" t="inlineStr">
        <is>
          <t>FDE-5</t>
        </is>
      </c>
      <c r="P43" s="6" t="inlineStr"/>
      <c r="Q43" s="6" t="inlineStr">
        <is>
          <t>§8 P4</t>
        </is>
      </c>
      <c r="R43" s="6" t="inlineStr">
        <is>
          <t>Residual risks listed with owners; no unverified acceptance</t>
        </is>
      </c>
      <c r="S43" s="6" t="inlineStr"/>
      <c r="T43" s="6" t="inlineStr"/>
    </row>
    <row r="44" ht="78" customHeight="1">
      <c r="A44" s="3" t="inlineStr">
        <is>
          <t>D6</t>
        </is>
      </c>
      <c r="B44" s="3" t="inlineStr">
        <is>
          <t>P4 Secure design</t>
        </is>
      </c>
      <c r="C44" s="3" t="inlineStr">
        <is>
          <t>D6-T5</t>
        </is>
      </c>
      <c r="D44" s="3" t="inlineStr">
        <is>
          <t>Privacy/purpose data mapping</t>
        </is>
      </c>
      <c r="E44" s="3" t="inlineStr">
        <is>
          <t>What to implement: Privacy/purpose data mapping
Expected functionality: Map consents, exports, retention conflicts for D09 injects. Support artefact 17 and privacy suite.
Important considerations: Work only under submission/; preserve immutable challenge evidence; Agents OFF until G4 PASS. FINAL ref §11.1 D09. Reviewer FDE-5 (author ≠ sole approver). Gate context: day exit / phase checkpoint.
Expected output / completion criteria: Mapping cites consents/exports/retention conflicts</t>
        </is>
      </c>
      <c r="F44" s="3" t="inlineStr">
        <is>
          <t>FDE-2</t>
        </is>
      </c>
      <c r="G44" s="3" t="inlineStr">
        <is>
          <t>High</t>
        </is>
      </c>
      <c r="H44" s="3" t="inlineStr">
        <is>
          <t>Not Started</t>
        </is>
      </c>
      <c r="I44" s="4" t="n">
        <v>46243</v>
      </c>
      <c r="J44" s="4" t="n">
        <v>46243</v>
      </c>
      <c r="K44" s="4" t="n"/>
      <c r="L44" s="3" t="inlineStr">
        <is>
          <t>Prior day exit (D5); seat capacity</t>
        </is>
      </c>
      <c r="M44" s="3" t="inlineStr"/>
      <c r="N44" s="5" t="n">
        <v>0</v>
      </c>
      <c r="O44" s="3" t="inlineStr">
        <is>
          <t>FDE-5</t>
        </is>
      </c>
      <c r="P44" s="3" t="inlineStr"/>
      <c r="Q44" s="3" t="inlineStr">
        <is>
          <t>§11.1 D09</t>
        </is>
      </c>
      <c r="R44" s="3" t="inlineStr">
        <is>
          <t>Mapping cites consents/exports/retention conflicts</t>
        </is>
      </c>
      <c r="S44" s="3" t="inlineStr"/>
      <c r="T44" s="3" t="inlineStr"/>
    </row>
    <row r="45" ht="78" customHeight="1">
      <c r="A45" s="6" t="inlineStr">
        <is>
          <t>D6</t>
        </is>
      </c>
      <c r="B45" s="6" t="inlineStr">
        <is>
          <t>P4 Secure design</t>
        </is>
      </c>
      <c r="C45" s="6" t="inlineStr">
        <is>
          <t>D6-T6</t>
        </is>
      </c>
      <c r="D45" s="6" t="inlineStr">
        <is>
          <t>HF / automation-bias notes (INJ-071) for artefact 18</t>
        </is>
      </c>
      <c r="E45" s="6" t="inlineStr">
        <is>
          <t>What to implement: HF / automation-bias notes (INJ-071) for artefact 18
Expected functionality: Notes on candidate_outputs and omitted-fact risk for Responsible AI artefact. Cite INJ-071.
Important considerations: Work only under submission/; preserve immutable challenge evidence; Agents OFF until G4 PASS. FINAL ref §8 P4. Reviewer FDE-5 (author ≠ sole approver). Gate context: day exit / phase checkpoint.
Expected output / completion criteria: Notes cite candidate_outputs / omitted-fact risk</t>
        </is>
      </c>
      <c r="F45" s="6" t="inlineStr">
        <is>
          <t>FDE-1</t>
        </is>
      </c>
      <c r="G45" s="6" t="inlineStr">
        <is>
          <t>High</t>
        </is>
      </c>
      <c r="H45" s="6" t="inlineStr">
        <is>
          <t>Not Started</t>
        </is>
      </c>
      <c r="I45" s="7" t="n">
        <v>46243</v>
      </c>
      <c r="J45" s="7" t="n">
        <v>46243</v>
      </c>
      <c r="K45" s="7" t="n"/>
      <c r="L45" s="6" t="inlineStr">
        <is>
          <t>Prior day exit (D5); seat capacity</t>
        </is>
      </c>
      <c r="M45" s="6" t="inlineStr"/>
      <c r="N45" s="8" t="n">
        <v>0</v>
      </c>
      <c r="O45" s="6" t="inlineStr">
        <is>
          <t>FDE-5</t>
        </is>
      </c>
      <c r="P45" s="6" t="inlineStr"/>
      <c r="Q45" s="6" t="inlineStr">
        <is>
          <t>§8 P4</t>
        </is>
      </c>
      <c r="R45" s="6" t="inlineStr">
        <is>
          <t>Notes cite candidate_outputs / omitted-fact risk</t>
        </is>
      </c>
      <c r="S45" s="6" t="inlineStr"/>
      <c r="T45" s="6" t="inlineStr"/>
    </row>
    <row r="46" ht="78" customHeight="1">
      <c r="A46" s="3" t="inlineStr">
        <is>
          <t>D6</t>
        </is>
      </c>
      <c r="B46" s="3" t="inlineStr">
        <is>
          <t>P4 Secure design</t>
        </is>
      </c>
      <c r="C46" s="3" t="inlineStr">
        <is>
          <t>D6-T7</t>
        </is>
      </c>
      <c r="D46" s="3" t="inlineStr">
        <is>
          <t>Eval step 5 start: ≥3 graders with ± unit tests</t>
        </is>
      </c>
      <c r="E46" s="3" t="inlineStr">
        <is>
          <t>What to implement: Eval step 5 start: ≥3 graders with ± unit tests
Expected functionality: Implement graders for schema, prohibited actions, evidence under evaluation/graders/. Each has positive and negative unit tests. Thresholds draft until D7 freeze.
Important considerations: Work only under submission/; preserve immutable challenge evidence; Agents OFF until G4 PASS. FINAL ref §11.8 step 5. Reviewer FDE-3 (author ≠ sole approver). Gate context: day exit / phase checkpoint.
Expected output / completion criteria: Grader modules under graders/; unit tests show + and −; thresholds draft (freeze by D7)</t>
        </is>
      </c>
      <c r="F46" s="3" t="inlineStr">
        <is>
          <t>FDE-5</t>
        </is>
      </c>
      <c r="G46" s="3" t="inlineStr">
        <is>
          <t>High</t>
        </is>
      </c>
      <c r="H46" s="3" t="inlineStr">
        <is>
          <t>Not Started</t>
        </is>
      </c>
      <c r="I46" s="4" t="n">
        <v>46243</v>
      </c>
      <c r="J46" s="4" t="n">
        <v>46243</v>
      </c>
      <c r="K46" s="4" t="n"/>
      <c r="L46" s="3" t="inlineStr">
        <is>
          <t>D5-T8; D6-T2</t>
        </is>
      </c>
      <c r="M46" s="3" t="inlineStr"/>
      <c r="N46" s="5" t="n">
        <v>0</v>
      </c>
      <c r="O46" s="3" t="inlineStr">
        <is>
          <t>FDE-3</t>
        </is>
      </c>
      <c r="P46" s="3" t="inlineStr"/>
      <c r="Q46" s="3" t="inlineStr">
        <is>
          <t>§11.8 step 5</t>
        </is>
      </c>
      <c r="R46" s="3" t="inlineStr">
        <is>
          <t>Grader modules under graders/; unit tests show + and −; thresholds draft (freeze by D7)</t>
        </is>
      </c>
      <c r="S46" s="3" t="inlineStr"/>
      <c r="T46" s="3" t="inlineStr"/>
    </row>
    <row r="47" ht="78" customHeight="1">
      <c r="A47" s="6" t="inlineStr">
        <is>
          <t>D7</t>
        </is>
      </c>
      <c r="B47" s="6" t="inlineStr">
        <is>
          <t>P4 Secure design / G4</t>
        </is>
      </c>
      <c r="C47" s="6" t="inlineStr">
        <is>
          <t>D7-T1</t>
        </is>
      </c>
      <c r="D47" s="6" t="inlineStr">
        <is>
          <t>Draft 18 Responsible AI / human factors</t>
        </is>
      </c>
      <c r="E47" s="6" t="inlineStr">
        <is>
          <t>What to implement: Draft 18 Responsible AI / human factors
Expected functionality: Automation-bias mitigations, a11y/language risks, reviewable outputs. Uses D6 HF notes.
Important considerations: Work only under submission/; preserve immutable challenge evidence; Agents OFF until G4 PASS. FINAL ref §8 P4. Reviewer FDE-5 (author ≠ sole approver). Gate context: G4.
Expected output / completion criteria: Automation-bias mitigations; a11y/language risks; reviewable</t>
        </is>
      </c>
      <c r="F47" s="6" t="inlineStr">
        <is>
          <t>FDE-1</t>
        </is>
      </c>
      <c r="G47" s="6" t="inlineStr">
        <is>
          <t>Critical</t>
        </is>
      </c>
      <c r="H47" s="6" t="inlineStr">
        <is>
          <t>Not Started</t>
        </is>
      </c>
      <c r="I47" s="7" t="n">
        <v>46244</v>
      </c>
      <c r="J47" s="7" t="n">
        <v>46244</v>
      </c>
      <c r="K47" s="7" t="n"/>
      <c r="L47" s="6" t="inlineStr">
        <is>
          <t>D6-T6</t>
        </is>
      </c>
      <c r="M47" s="6" t="inlineStr"/>
      <c r="N47" s="8" t="n">
        <v>0</v>
      </c>
      <c r="O47" s="6" t="inlineStr">
        <is>
          <t>FDE-5</t>
        </is>
      </c>
      <c r="P47" s="6" t="inlineStr">
        <is>
          <t>G4</t>
        </is>
      </c>
      <c r="Q47" s="6" t="inlineStr">
        <is>
          <t>§8 P4</t>
        </is>
      </c>
      <c r="R47" s="6" t="inlineStr">
        <is>
          <t>Automation-bias mitigations; a11y/language risks; reviewable</t>
        </is>
      </c>
      <c r="S47" s="6" t="inlineStr"/>
      <c r="T47" s="6" t="inlineStr"/>
    </row>
    <row r="48" ht="78" customHeight="1">
      <c r="A48" s="3" t="inlineStr">
        <is>
          <t>D7</t>
        </is>
      </c>
      <c r="B48" s="3" t="inlineStr">
        <is>
          <t>P4 Secure design / G4</t>
        </is>
      </c>
      <c r="C48" s="3" t="inlineStr">
        <is>
          <t>D7-T2</t>
        </is>
      </c>
      <c r="D48" s="3" t="inlineStr">
        <is>
          <t>Draft 19–21 EU AI Act / ISO-aligned / assurance</t>
        </is>
      </c>
      <c r="E48" s="3" t="inlineStr">
        <is>
          <t>What to implement: Draft 19–21 EU AI Act / ISO-aligned / assurance
Expected functionality: Jurisdiction/purpose/role explicit. No certification claim. CAE/assurance skeleton for later board.
Important considerations: Work only under submission/; preserve immutable challenge evidence; Agents OFF until G4 PASS. FINAL ref §8 P4, §12. Reviewer FDE-5 (19–20), FDE-1 (21) (author ≠ sole approver). Gate context: G4.
Expected output / completion criteria: Jurisdiction/purpose/role explicit; no certification claim; CAE skeleton</t>
        </is>
      </c>
      <c r="F48" s="3" t="inlineStr">
        <is>
          <t>FDE-4</t>
        </is>
      </c>
      <c r="G48" s="3" t="inlineStr">
        <is>
          <t>Critical</t>
        </is>
      </c>
      <c r="H48" s="3" t="inlineStr">
        <is>
          <t>Not Started</t>
        </is>
      </c>
      <c r="I48" s="4" t="n">
        <v>46244</v>
      </c>
      <c r="J48" s="4" t="n">
        <v>46244</v>
      </c>
      <c r="K48" s="4" t="n"/>
      <c r="L48" s="3" t="inlineStr">
        <is>
          <t>Prior day exit (D6); seat capacity</t>
        </is>
      </c>
      <c r="M48" s="3" t="inlineStr"/>
      <c r="N48" s="5" t="n">
        <v>0</v>
      </c>
      <c r="O48" s="3" t="inlineStr">
        <is>
          <t>FDE-5 (19–20), FDE-1 (21)</t>
        </is>
      </c>
      <c r="P48" s="3" t="inlineStr">
        <is>
          <t>G4</t>
        </is>
      </c>
      <c r="Q48" s="3" t="inlineStr">
        <is>
          <t>§8 P4, §12</t>
        </is>
      </c>
      <c r="R48" s="3" t="inlineStr">
        <is>
          <t>Jurisdiction/purpose/role explicit; no certification claim; CAE skeleton</t>
        </is>
      </c>
      <c r="S48" s="3" t="inlineStr"/>
      <c r="T48" s="3" t="inlineStr"/>
    </row>
    <row r="49" ht="78" customHeight="1">
      <c r="A49" s="6" t="inlineStr">
        <is>
          <t>D7</t>
        </is>
      </c>
      <c r="B49" s="6" t="inlineStr">
        <is>
          <t>P4 Secure design / G4</t>
        </is>
      </c>
      <c r="C49" s="6" t="inlineStr">
        <is>
          <t>D7-T3</t>
        </is>
      </c>
      <c r="D49" s="6" t="inlineStr">
        <is>
          <t>Cursor engineering evidence in ADRs</t>
        </is>
      </c>
      <c r="E49" s="6" t="inlineStr">
        <is>
          <t>What to implement: Cursor engineering evidence in ADRs
Expected functionality: At least one ADR cites rules/skills/commands. Plan path for sample reviewer outputs under submission/evidence/.
Important considerations: Work only under submission/; preserve immutable challenge evidence; Agents OFF until G4 PASS. FINAL ref §15. Reviewer FDE-1 (author ≠ sole approver). Gate context: G4.
Expected output / completion criteria: ≥1 ADR cites rules/skills/commands; sample reviewer output path planned</t>
        </is>
      </c>
      <c r="F49" s="6" t="inlineStr">
        <is>
          <t>FDE-3</t>
        </is>
      </c>
      <c r="G49" s="6" t="inlineStr">
        <is>
          <t>Critical</t>
        </is>
      </c>
      <c r="H49" s="6" t="inlineStr">
        <is>
          <t>Not Started</t>
        </is>
      </c>
      <c r="I49" s="7" t="n">
        <v>46244</v>
      </c>
      <c r="J49" s="7" t="n">
        <v>46244</v>
      </c>
      <c r="K49" s="7" t="n"/>
      <c r="L49" s="6" t="inlineStr">
        <is>
          <t>Prior day exit (D6); seat capacity</t>
        </is>
      </c>
      <c r="M49" s="6" t="inlineStr"/>
      <c r="N49" s="8" t="n">
        <v>0</v>
      </c>
      <c r="O49" s="6" t="inlineStr">
        <is>
          <t>FDE-1</t>
        </is>
      </c>
      <c r="P49" s="6" t="inlineStr">
        <is>
          <t>G4</t>
        </is>
      </c>
      <c r="Q49" s="6" t="inlineStr">
        <is>
          <t>§15</t>
        </is>
      </c>
      <c r="R49" s="6" t="inlineStr">
        <is>
          <t>≥1 ADR cites rules/skills/commands; sample reviewer output path planned</t>
        </is>
      </c>
      <c r="S49" s="6" t="inlineStr"/>
      <c r="T49" s="6" t="inlineStr"/>
    </row>
    <row r="50" ht="78" customHeight="1">
      <c r="A50" s="3" t="inlineStr">
        <is>
          <t>D7</t>
        </is>
      </c>
      <c r="B50" s="3" t="inlineStr">
        <is>
          <t>P4 Secure design / G4</t>
        </is>
      </c>
      <c r="C50" s="3" t="inlineStr">
        <is>
          <t>D7-T4</t>
        </is>
      </c>
      <c r="D50" s="3" t="inlineStr">
        <is>
          <t>Control↔test map; every hard-gate threat has failing test</t>
        </is>
      </c>
      <c r="E50" s="3" t="inlineStr">
        <is>
          <t>What to implement: Control↔test map; every hard-gate threat has failing test
Expected functionality: Traceability table: threat → test → expected fail. Required for G4. No missing critical control.
Important considerations: Work only under submission/; preserve immutable challenge evidence; Agents OFF until G4 PASS. FINAL ref §8.2 G4. Reviewer FDE-3 (author ≠ sole approver). Gate context: G4.
Expected output / completion criteria: Traceability table threat→test→expected fail; no missing critical control</t>
        </is>
      </c>
      <c r="F50" s="3" t="inlineStr">
        <is>
          <t>FDE-5</t>
        </is>
      </c>
      <c r="G50" s="3" t="inlineStr">
        <is>
          <t>Critical</t>
        </is>
      </c>
      <c r="H50" s="3" t="inlineStr">
        <is>
          <t>Not Started</t>
        </is>
      </c>
      <c r="I50" s="4" t="n">
        <v>46244</v>
      </c>
      <c r="J50" s="4" t="n">
        <v>46244</v>
      </c>
      <c r="K50" s="4" t="n"/>
      <c r="L50" s="3" t="inlineStr">
        <is>
          <t>D6-T2; D6-T1</t>
        </is>
      </c>
      <c r="M50" s="3" t="inlineStr"/>
      <c r="N50" s="5" t="n">
        <v>0</v>
      </c>
      <c r="O50" s="3" t="inlineStr">
        <is>
          <t>FDE-3</t>
        </is>
      </c>
      <c r="P50" s="3" t="inlineStr">
        <is>
          <t>G4</t>
        </is>
      </c>
      <c r="Q50" s="3" t="inlineStr">
        <is>
          <t>§8.2 G4</t>
        </is>
      </c>
      <c r="R50" s="3" t="inlineStr">
        <is>
          <t>Traceability table threat→test→expected fail; no missing critical control</t>
        </is>
      </c>
      <c r="S50" s="3" t="inlineStr"/>
      <c r="T50" s="3" t="inlineStr"/>
    </row>
    <row r="51" ht="78" customHeight="1">
      <c r="A51" s="6" t="inlineStr">
        <is>
          <t>D7</t>
        </is>
      </c>
      <c r="B51" s="6" t="inlineStr">
        <is>
          <t>P4 Secure design / G4</t>
        </is>
      </c>
      <c r="C51" s="6" t="inlineStr">
        <is>
          <t>D7-T5</t>
        </is>
      </c>
      <c r="D51" s="6" t="inlineStr">
        <is>
          <t>Cross-check assurance claims vs evidence register</t>
        </is>
      </c>
      <c r="E51" s="6" t="inlineStr">
        <is>
          <t>What to implement: Cross-check assurance claims vs evidence register
Expected functionality: Every assurance claim must point to a register evidence path. Remove or downgrade unsupported claims.
Important considerations: Work only under submission/; preserve immutable challenge evidence; Agents OFF until G4 PASS. FINAL ref §11. Reviewer FDE-4 (author ≠ sole approver). Gate context: G4.
Expected output / completion criteria: No claim without register evidence path</t>
        </is>
      </c>
      <c r="F51" s="6" t="inlineStr">
        <is>
          <t>FDE-2</t>
        </is>
      </c>
      <c r="G51" s="6" t="inlineStr">
        <is>
          <t>Critical</t>
        </is>
      </c>
      <c r="H51" s="6" t="inlineStr">
        <is>
          <t>Not Started</t>
        </is>
      </c>
      <c r="I51" s="7" t="n">
        <v>46244</v>
      </c>
      <c r="J51" s="7" t="n">
        <v>46244</v>
      </c>
      <c r="K51" s="7" t="n"/>
      <c r="L51" s="6" t="inlineStr">
        <is>
          <t>Prior day exit (D6); seat capacity</t>
        </is>
      </c>
      <c r="M51" s="6" t="inlineStr"/>
      <c r="N51" s="8" t="n">
        <v>0</v>
      </c>
      <c r="O51" s="6" t="inlineStr">
        <is>
          <t>FDE-4</t>
        </is>
      </c>
      <c r="P51" s="6" t="inlineStr">
        <is>
          <t>G4</t>
        </is>
      </c>
      <c r="Q51" s="6" t="inlineStr">
        <is>
          <t>§11</t>
        </is>
      </c>
      <c r="R51" s="6" t="inlineStr">
        <is>
          <t>No claim without register evidence path</t>
        </is>
      </c>
      <c r="S51" s="6" t="inlineStr"/>
      <c r="T51" s="6" t="inlineStr"/>
    </row>
    <row r="52" ht="78" customHeight="1">
      <c r="A52" s="3" t="inlineStr">
        <is>
          <t>D7</t>
        </is>
      </c>
      <c r="B52" s="3" t="inlineStr">
        <is>
          <t>P4 Secure design / G4</t>
        </is>
      </c>
      <c r="C52" s="3" t="inlineStr">
        <is>
          <t>D7-T6</t>
        </is>
      </c>
      <c r="D52" s="3" t="inlineStr">
        <is>
          <t>Freeze grader/suite thresholds before improved-system results</t>
        </is>
      </c>
      <c r="E52" s="3" t="inlineStr">
        <is>
          <t>What to implement: Freeze grader/suite thresholds before improved-system results
Expected functionality: Commit thresholds in decision log before seeing improved submission/src results. No post-hoc softening without RAID (R-007).
Important considerations: Work only under submission/; preserve immutable challenge evidence; Agents OFF until G4 PASS. FINAL ref §11.8, R-007. Reviewer FDE-4 (author ≠ sole approver). Gate context: G4.
Expected output / completion criteria: Threshold commit date/version logged; no post-hoc softening without RAID</t>
        </is>
      </c>
      <c r="F52" s="3" t="inlineStr">
        <is>
          <t>FDE-5</t>
        </is>
      </c>
      <c r="G52" s="3" t="inlineStr">
        <is>
          <t>Critical</t>
        </is>
      </c>
      <c r="H52" s="3" t="inlineStr">
        <is>
          <t>Not Started</t>
        </is>
      </c>
      <c r="I52" s="4" t="n">
        <v>46244</v>
      </c>
      <c r="J52" s="4" t="n">
        <v>46244</v>
      </c>
      <c r="K52" s="4" t="n"/>
      <c r="L52" s="3" t="inlineStr">
        <is>
          <t>D6-T7; D5-T9</t>
        </is>
      </c>
      <c r="M52" s="3" t="inlineStr"/>
      <c r="N52" s="5" t="n">
        <v>0</v>
      </c>
      <c r="O52" s="3" t="inlineStr">
        <is>
          <t>FDE-4</t>
        </is>
      </c>
      <c r="P52" s="3" t="inlineStr">
        <is>
          <t>G4</t>
        </is>
      </c>
      <c r="Q52" s="3" t="inlineStr">
        <is>
          <t>§11.8, R-007</t>
        </is>
      </c>
      <c r="R52" s="3" t="inlineStr">
        <is>
          <t>Threshold commit date/version logged; no post-hoc softening without RAID</t>
        </is>
      </c>
      <c r="S52" s="3" t="inlineStr"/>
      <c r="T52" s="3" t="inlineStr"/>
    </row>
    <row r="53" ht="78" customHeight="1">
      <c r="A53" s="6" t="inlineStr">
        <is>
          <t>D8</t>
        </is>
      </c>
      <c r="B53" s="6" t="inlineStr">
        <is>
          <t>P5 POC build</t>
        </is>
      </c>
      <c r="C53" s="6" t="inlineStr">
        <is>
          <t>D8-T1</t>
        </is>
      </c>
      <c r="D53" s="6" t="inlineStr">
        <is>
          <t>Shared resolver + Workflow A + app shell</t>
        </is>
      </c>
      <c r="E53" s="6" t="inlineStr">
        <is>
          <t>What to implement: Shared resolver + Workflow A + app shell
Expected functionality: Implement WF-A batch advisory path + app shell. readiness_state enum only; no disposition fields. App uses text nodes — no innerHTML.
Important considerations: Work only under submission/; preserve immutable challenge evidence; Agents may be used only after G4 PASS; still no prohibited autonomy. FINAL ref §13, §12 RUB-08. Reviewer FDE-5 (+ FDE-4 GxP) (author ≠ sole approver). Gate context: day exit / phase checkpoint.
Expected output / completion criteria: Schema-valid batch responses; readiness_state enum only; no disposition fields; no innerHTML</t>
        </is>
      </c>
      <c r="F53" s="6" t="inlineStr">
        <is>
          <t>FDE-3</t>
        </is>
      </c>
      <c r="G53" s="6" t="inlineStr">
        <is>
          <t>High</t>
        </is>
      </c>
      <c r="H53" s="6" t="inlineStr">
        <is>
          <t>Not Started</t>
        </is>
      </c>
      <c r="I53" s="7" t="n">
        <v>46245</v>
      </c>
      <c r="J53" s="7" t="n">
        <v>46245</v>
      </c>
      <c r="K53" s="7" t="n"/>
      <c r="L53" s="6" t="inlineStr">
        <is>
          <t>G4 (D7); D5-T2; D6-T2</t>
        </is>
      </c>
      <c r="M53" s="6" t="inlineStr"/>
      <c r="N53" s="8" t="n">
        <v>0</v>
      </c>
      <c r="O53" s="6" t="inlineStr">
        <is>
          <t>FDE-5 (+ FDE-4 GxP)</t>
        </is>
      </c>
      <c r="P53" s="6" t="inlineStr"/>
      <c r="Q53" s="6" t="inlineStr">
        <is>
          <t>§13, §12 RUB-08</t>
        </is>
      </c>
      <c r="R53" s="6" t="inlineStr">
        <is>
          <t>Schema-valid batch responses; readiness_state enum only; no disposition fields; no innerHTML</t>
        </is>
      </c>
      <c r="S53" s="6" t="inlineStr"/>
      <c r="T53" s="6" t="inlineStr"/>
    </row>
    <row r="54" ht="78" customHeight="1">
      <c r="A54" s="3" t="inlineStr">
        <is>
          <t>D8</t>
        </is>
      </c>
      <c r="B54" s="3" t="inlineStr">
        <is>
          <t>P5 POC build</t>
        </is>
      </c>
      <c r="C54" s="3" t="inlineStr">
        <is>
          <t>D8-T2</t>
        </is>
      </c>
      <c r="D54" s="3" t="inlineStr">
        <is>
          <t>Start Workflow C (draft options)</t>
        </is>
      </c>
      <c r="E54" s="3" t="inlineStr">
        <is>
          <t>What to implement: Start Workflow C (draft options)
Expected functionality: Begin supply/clinical options workflow. All options status=draft; no_side_effects=true on success and error paths.
Important considerations: Work only under submission/; preserve immutable challenge evidence; Agents may be used only after G4 PASS; still no prohibited autonomy. FINAL ref §13. Reviewer FDE-5 (author ≠ sole approver). Gate context: day exit / phase checkpoint.
Expected output / completion criteria: Options status=draft; no_side_effects=true on success/error paths</t>
        </is>
      </c>
      <c r="F54" s="3" t="inlineStr">
        <is>
          <t>FDE-3</t>
        </is>
      </c>
      <c r="G54" s="3" t="inlineStr">
        <is>
          <t>High</t>
        </is>
      </c>
      <c r="H54" s="3" t="inlineStr">
        <is>
          <t>Not Started</t>
        </is>
      </c>
      <c r="I54" s="4" t="n">
        <v>46245</v>
      </c>
      <c r="J54" s="4" t="n">
        <v>46245</v>
      </c>
      <c r="K54" s="4" t="n"/>
      <c r="L54" s="3" t="inlineStr">
        <is>
          <t>D8-T1</t>
        </is>
      </c>
      <c r="M54" s="3" t="inlineStr"/>
      <c r="N54" s="5" t="n">
        <v>0</v>
      </c>
      <c r="O54" s="3" t="inlineStr">
        <is>
          <t>FDE-5</t>
        </is>
      </c>
      <c r="P54" s="3" t="inlineStr"/>
      <c r="Q54" s="3" t="inlineStr">
        <is>
          <t>§13</t>
        </is>
      </c>
      <c r="R54" s="3" t="inlineStr">
        <is>
          <t>Options status=draft; no_side_effects=true on success/error paths</t>
        </is>
      </c>
      <c r="S54" s="3" t="inlineStr"/>
      <c r="T54" s="3" t="inlineStr"/>
    </row>
    <row r="55" ht="78" customHeight="1">
      <c r="A55" s="6" t="inlineStr">
        <is>
          <t>D8</t>
        </is>
      </c>
      <c r="B55" s="6" t="inlineStr">
        <is>
          <t>P5 POC build</t>
        </is>
      </c>
      <c r="C55" s="6" t="inlineStr">
        <is>
          <t>D8-T3</t>
        </is>
      </c>
      <c r="D55" s="6" t="inlineStr">
        <is>
          <t>WF-A domain rules + sign-off criteria</t>
        </is>
      </c>
      <c r="E55" s="6" t="inlineStr">
        <is>
          <t>What to implement: WF-A domain rules + sign-off criteria
Expected functionality: Written batch domain rules and sign-off checklist forbidding release/reject/recall language.
Important considerations: Work only under submission/; preserve immutable challenge evidence; Agents may be used only after G4 PASS; still no prohibited autonomy. FINAL ref §6.4, §13. Reviewer FDE-3 (author ≠ sole approver). Gate context: day exit / phase checkpoint.
Expected output / completion criteria: Written rules; sign-off checklist forbids release/reject/recall language</t>
        </is>
      </c>
      <c r="F55" s="6" t="inlineStr">
        <is>
          <t>FDE-4</t>
        </is>
      </c>
      <c r="G55" s="6" t="inlineStr">
        <is>
          <t>High</t>
        </is>
      </c>
      <c r="H55" s="6" t="inlineStr">
        <is>
          <t>Not Started</t>
        </is>
      </c>
      <c r="I55" s="7" t="n">
        <v>46245</v>
      </c>
      <c r="J55" s="7" t="n">
        <v>46245</v>
      </c>
      <c r="K55" s="7" t="n"/>
      <c r="L55" s="6" t="inlineStr">
        <is>
          <t>Prior day exit (D7); seat capacity</t>
        </is>
      </c>
      <c r="M55" s="6" t="inlineStr"/>
      <c r="N55" s="8" t="n">
        <v>0</v>
      </c>
      <c r="O55" s="6" t="inlineStr">
        <is>
          <t>FDE-3</t>
        </is>
      </c>
      <c r="P55" s="6" t="inlineStr"/>
      <c r="Q55" s="6" t="inlineStr">
        <is>
          <t>§6.4, §13</t>
        </is>
      </c>
      <c r="R55" s="6" t="inlineStr">
        <is>
          <t>Written rules; sign-off checklist forbids release/reject/recall language</t>
        </is>
      </c>
      <c r="S55" s="6" t="inlineStr"/>
      <c r="T55" s="6" t="inlineStr"/>
    </row>
    <row r="56" ht="78" customHeight="1">
      <c r="A56" s="3" t="inlineStr">
        <is>
          <t>D8</t>
        </is>
      </c>
      <c r="B56" s="3" t="inlineStr">
        <is>
          <t>P5 POC build</t>
        </is>
      </c>
      <c r="C56" s="3" t="inlineStr">
        <is>
          <t>D8-T4</t>
        </is>
      </c>
      <c r="D56" s="3" t="inlineStr">
        <is>
          <t>WF-C domain rules (ethics, approvals_required)</t>
        </is>
      </c>
      <c r="E56" s="3" t="inlineStr">
        <is>
          <t>What to implement: WF-C domain rules (ethics, approvals_required)
Expected functionality: Rules for WF-C: no reserve/allocate/ship verbs; named approvals_required; ethics constraints explicit.
Important considerations: Work only under submission/; preserve immutable challenge evidence; Agents may be used only after G4 PASS; still no prohibited autonomy. FINAL ref §6.4, §13. Reviewer FDE-4 (author ≠ sole approver). Gate context: day exit / phase checkpoint.
Expected output / completion criteria: No reserve/allocate/ship verbs in outputs; approvals named</t>
        </is>
      </c>
      <c r="F56" s="3" t="inlineStr">
        <is>
          <t>FDE-1</t>
        </is>
      </c>
      <c r="G56" s="3" t="inlineStr">
        <is>
          <t>High</t>
        </is>
      </c>
      <c r="H56" s="3" t="inlineStr">
        <is>
          <t>Not Started</t>
        </is>
      </c>
      <c r="I56" s="4" t="n">
        <v>46245</v>
      </c>
      <c r="J56" s="4" t="n">
        <v>46245</v>
      </c>
      <c r="K56" s="4" t="n"/>
      <c r="L56" s="3" t="inlineStr">
        <is>
          <t>Prior day exit (D7); seat capacity</t>
        </is>
      </c>
      <c r="M56" s="3" t="inlineStr"/>
      <c r="N56" s="5" t="n">
        <v>0</v>
      </c>
      <c r="O56" s="3" t="inlineStr">
        <is>
          <t>FDE-4</t>
        </is>
      </c>
      <c r="P56" s="3" t="inlineStr"/>
      <c r="Q56" s="3" t="inlineStr">
        <is>
          <t>§6.4, §13</t>
        </is>
      </c>
      <c r="R56" s="3" t="inlineStr">
        <is>
          <t>No reserve/allocate/ship verbs in outputs; approvals named</t>
        </is>
      </c>
      <c r="S56" s="3" t="inlineStr"/>
      <c r="T56" s="3" t="inlineStr"/>
    </row>
    <row r="57" ht="78" customHeight="1">
      <c r="A57" s="6" t="inlineStr">
        <is>
          <t>D8</t>
        </is>
      </c>
      <c r="B57" s="6" t="inlineStr">
        <is>
          <t>P5 POC build</t>
        </is>
      </c>
      <c r="C57" s="6" t="inlineStr">
        <is>
          <t>D8-T5</t>
        </is>
      </c>
      <c r="D57" s="6" t="inlineStr">
        <is>
          <t>Batch/PV domain rules; verbatim preservation for B</t>
        </is>
      </c>
      <c r="E57" s="6" t="inlineStr">
        <is>
          <t>What to implement: Batch/PV domain rules; verbatim preservation for B
Expected functionality: Prepare WF-B rules: source_facts, clocks, listedness, required_reviews preserved verbatim. No final safety conclusions.
Important considerations: Work only under submission/; preserve immutable challenge evidence; Agents may be used only after G4 PASS; still no prohibited autonomy. FINAL ref §13. Reviewer FDE-4 (author ≠ sole approver). Gate context: day exit / phase checkpoint.
Expected output / completion criteria: Rules require source_facts/clocks/listedness fields preserved</t>
        </is>
      </c>
      <c r="F57" s="6" t="inlineStr">
        <is>
          <t>FDE-2</t>
        </is>
      </c>
      <c r="G57" s="6" t="inlineStr">
        <is>
          <t>High</t>
        </is>
      </c>
      <c r="H57" s="6" t="inlineStr">
        <is>
          <t>Not Started</t>
        </is>
      </c>
      <c r="I57" s="7" t="n">
        <v>46245</v>
      </c>
      <c r="J57" s="7" t="n">
        <v>46245</v>
      </c>
      <c r="K57" s="7" t="n"/>
      <c r="L57" s="6" t="inlineStr">
        <is>
          <t>Prior day exit (D7); seat capacity</t>
        </is>
      </c>
      <c r="M57" s="6" t="inlineStr"/>
      <c r="N57" s="8" t="n">
        <v>0</v>
      </c>
      <c r="O57" s="6" t="inlineStr">
        <is>
          <t>FDE-4</t>
        </is>
      </c>
      <c r="P57" s="6" t="inlineStr"/>
      <c r="Q57" s="6" t="inlineStr">
        <is>
          <t>§13</t>
        </is>
      </c>
      <c r="R57" s="6" t="inlineStr">
        <is>
          <t>Rules require source_facts/clocks/listedness fields preserved</t>
        </is>
      </c>
      <c r="S57" s="6" t="inlineStr"/>
      <c r="T57" s="6" t="inlineStr"/>
    </row>
    <row r="58" ht="78" customHeight="1">
      <c r="A58" s="3" t="inlineStr">
        <is>
          <t>D8</t>
        </is>
      </c>
      <c r="B58" s="3" t="inlineStr">
        <is>
          <t>P5 POC build</t>
        </is>
      </c>
      <c r="C58" s="3" t="inlineStr">
        <is>
          <t>D8-T6</t>
        </is>
      </c>
      <c r="D58" s="3" t="inlineStr">
        <is>
          <t>Tests for A + authz-at-execution; execution_status=not_executed</t>
        </is>
      </c>
      <c r="E58" s="3" t="inlineStr">
        <is>
          <t>What to implement: Tests for A + authz-at-execution; execution_status=not_executed
Expected functionality: Tests for WF-A allow path and deny on revoked/stale cache (INJ-067). Contracts still 3+/3−.
Important considerations: Work only under submission/; preserve immutable challenge evidence; Agents may be used only after G4 PASS; still no prohibited autonomy. FINAL ref §13, INJ-067. Reviewer FDE-4 (author ≠ sole approver). Gate context: day exit / phase checkpoint.
Expected output / completion criteria: Allow path passes; deny on revoked/stale cache; contracts still 3+/3−</t>
        </is>
      </c>
      <c r="F58" s="3" t="inlineStr">
        <is>
          <t>FDE-5</t>
        </is>
      </c>
      <c r="G58" s="3" t="inlineStr">
        <is>
          <t>High</t>
        </is>
      </c>
      <c r="H58" s="3" t="inlineStr">
        <is>
          <t>Not Started</t>
        </is>
      </c>
      <c r="I58" s="4" t="n">
        <v>46245</v>
      </c>
      <c r="J58" s="4" t="n">
        <v>46245</v>
      </c>
      <c r="K58" s="4" t="n"/>
      <c r="L58" s="3" t="inlineStr">
        <is>
          <t>Prior day exit (D7); seat capacity</t>
        </is>
      </c>
      <c r="M58" s="3" t="inlineStr"/>
      <c r="N58" s="5" t="n">
        <v>0</v>
      </c>
      <c r="O58" s="3" t="inlineStr">
        <is>
          <t>FDE-4</t>
        </is>
      </c>
      <c r="P58" s="3" t="inlineStr"/>
      <c r="Q58" s="3" t="inlineStr">
        <is>
          <t>§13, INJ-067</t>
        </is>
      </c>
      <c r="R58" s="3" t="inlineStr">
        <is>
          <t>Allow path passes; deny on revoked/stale cache; contracts still 3+/3−</t>
        </is>
      </c>
      <c r="S58" s="3" t="inlineStr"/>
      <c r="T58" s="3" t="inlineStr"/>
    </row>
    <row r="59" ht="78" customHeight="1">
      <c r="A59" s="6" t="inlineStr">
        <is>
          <t>D8</t>
        </is>
      </c>
      <c r="B59" s="6" t="inlineStr">
        <is>
          <t>P5 POC build</t>
        </is>
      </c>
      <c r="C59" s="6" t="inlineStr">
        <is>
          <t>D8-T7</t>
        </is>
      </c>
      <c r="D59" s="6" t="inlineStr">
        <is>
          <t>Eval step 4: build adapter</t>
        </is>
      </c>
      <c r="E59" s="6" t="inlineStr">
        <is>
          <t>What to implement: Eval step 4: build adapter
Expected functionality: Adapter under evaluation/adapters/ captures input, output, evidence, tools, retries, errors, approvals, side effects, latency. Wire WF-A; C/B stubs OK. No silent side effects.
Important considerations: Work only under submission/; preserve immutable challenge evidence; Agents may be used only after G4 PASS; still no prohibited autonomy. FINAL ref §11.8 step 4. Reviewer FDE-5 (author ≠ sole approver). Gate context: day exit / phase checkpoint.
Expected output / completion criteria: Adapter under adapters/; wired for WF-A; no silent side effects</t>
        </is>
      </c>
      <c r="F59" s="6" t="inlineStr">
        <is>
          <t>FDE-3</t>
        </is>
      </c>
      <c r="G59" s="6" t="inlineStr">
        <is>
          <t>High</t>
        </is>
      </c>
      <c r="H59" s="6" t="inlineStr">
        <is>
          <t>Not Started</t>
        </is>
      </c>
      <c r="I59" s="7" t="n">
        <v>46245</v>
      </c>
      <c r="J59" s="7" t="n">
        <v>46245</v>
      </c>
      <c r="K59" s="7" t="n"/>
      <c r="L59" s="6" t="inlineStr">
        <is>
          <t>D5-T8; D8-T1</t>
        </is>
      </c>
      <c r="M59" s="6" t="inlineStr"/>
      <c r="N59" s="8" t="n">
        <v>0</v>
      </c>
      <c r="O59" s="6" t="inlineStr">
        <is>
          <t>FDE-5</t>
        </is>
      </c>
      <c r="P59" s="6" t="inlineStr"/>
      <c r="Q59" s="6" t="inlineStr">
        <is>
          <t>§11.8 step 4</t>
        </is>
      </c>
      <c r="R59" s="6" t="inlineStr">
        <is>
          <t>Adapter under adapters/; wired for WF-A; no silent side effects</t>
        </is>
      </c>
      <c r="S59" s="6" t="inlineStr"/>
      <c r="T59" s="6" t="inlineStr"/>
    </row>
    <row r="60" ht="78" customHeight="1">
      <c r="A60" s="3" t="inlineStr">
        <is>
          <t>D8</t>
        </is>
      </c>
      <c r="B60" s="3" t="inlineStr">
        <is>
          <t>P5 POC build</t>
        </is>
      </c>
      <c r="C60" s="3" t="inlineStr">
        <is>
          <t>D8-T8</t>
        </is>
      </c>
      <c r="D60" s="3" t="inlineStr">
        <is>
          <t>Eval step 6 baseline: run suite on unmodified starter/</t>
        </is>
      </c>
      <c r="E60" s="3" t="inlineStr">
        <is>
          <t>What to implement: Eval step 6 baseline: run suite on unmodified starter/
Expected functionality: Run eval against unmodified brownfield starter/. Write reports/baseline/summary.json and failed_cases.json (or document gaps). Gaps drive improvement backlog.
Important considerations: Work only under submission/; preserve immutable challenge evidence; Agents may be used only after G4 PASS; still no prohibited autonomy. FINAL ref §11.8 step 6, M6b. Reviewer FDE-3 (author ≠ sole approver). Gate context: day exit / phase checkpoint.
Expected output / completion criteria: reports/baseline/ has summary.json + failed_cases.json (or documented gaps); gaps drive backlog</t>
        </is>
      </c>
      <c r="F60" s="3" t="inlineStr">
        <is>
          <t>FDE-5</t>
        </is>
      </c>
      <c r="G60" s="3" t="inlineStr">
        <is>
          <t>High</t>
        </is>
      </c>
      <c r="H60" s="3" t="inlineStr">
        <is>
          <t>Not Started</t>
        </is>
      </c>
      <c r="I60" s="4" t="n">
        <v>46245</v>
      </c>
      <c r="J60" s="4" t="n">
        <v>46245</v>
      </c>
      <c r="K60" s="4" t="n"/>
      <c r="L60" s="3" t="inlineStr">
        <is>
          <t>D8-T7; D6-T7</t>
        </is>
      </c>
      <c r="M60" s="3" t="inlineStr"/>
      <c r="N60" s="5" t="n">
        <v>0</v>
      </c>
      <c r="O60" s="3" t="inlineStr">
        <is>
          <t>FDE-3</t>
        </is>
      </c>
      <c r="P60" s="3" t="inlineStr"/>
      <c r="Q60" s="3" t="inlineStr">
        <is>
          <t>§11.8 step 6, M6b</t>
        </is>
      </c>
      <c r="R60" s="3" t="inlineStr">
        <is>
          <t>reports/baseline/ has summary.json + failed_cases.json (or documented gaps); gaps drive backlog</t>
        </is>
      </c>
      <c r="S60" s="3" t="inlineStr"/>
      <c r="T60" s="3" t="inlineStr"/>
    </row>
    <row r="61" ht="78" customHeight="1">
      <c r="A61" s="6" t="inlineStr">
        <is>
          <t>D9</t>
        </is>
      </c>
      <c r="B61" s="6" t="inlineStr">
        <is>
          <t>P5 POC build / G5</t>
        </is>
      </c>
      <c r="C61" s="6" t="inlineStr">
        <is>
          <t>D9-T1</t>
        </is>
      </c>
      <c r="D61" s="6" t="inlineStr">
        <is>
          <t>Finish WF-C then WF-B; AI-disabled path + scripts</t>
        </is>
      </c>
      <c r="E61" s="6" t="inlineStr">
        <is>
          <t>What to implement: Finish WF-C then WF-B; AI-disabled path + scripts
Expected functionality: Respect build order A→C→B. Finish C then B. AI-disabled path produces schema-valid outputs. Document scripts.
Important considerations: Work only under submission/; preserve immutable challenge evidence; Agents may be used only after G4 PASS; still no prohibited autonomy. FINAL ref §13, §8 P5. Reviewer FDE-5 (author ≠ sole approver). Gate context: G5.
Expected output / completion criteria: Build order respected; AI-off schema-valid; scripts documented</t>
        </is>
      </c>
      <c r="F61" s="6" t="inlineStr">
        <is>
          <t>FDE-3</t>
        </is>
      </c>
      <c r="G61" s="6" t="inlineStr">
        <is>
          <t>Critical</t>
        </is>
      </c>
      <c r="H61" s="6" t="inlineStr">
        <is>
          <t>Not Started</t>
        </is>
      </c>
      <c r="I61" s="7" t="n">
        <v>46246</v>
      </c>
      <c r="J61" s="7" t="n">
        <v>46246</v>
      </c>
      <c r="K61" s="7" t="n"/>
      <c r="L61" s="6" t="inlineStr">
        <is>
          <t>D8-T1; D8-T2</t>
        </is>
      </c>
      <c r="M61" s="6" t="inlineStr"/>
      <c r="N61" s="8" t="n">
        <v>0</v>
      </c>
      <c r="O61" s="6" t="inlineStr">
        <is>
          <t>FDE-5</t>
        </is>
      </c>
      <c r="P61" s="6" t="inlineStr">
        <is>
          <t>G5</t>
        </is>
      </c>
      <c r="Q61" s="6" t="inlineStr">
        <is>
          <t>§13, §8 P5</t>
        </is>
      </c>
      <c r="R61" s="6" t="inlineStr">
        <is>
          <t>Build order respected; AI-off schema-valid; scripts documented</t>
        </is>
      </c>
      <c r="S61" s="6" t="inlineStr"/>
      <c r="T61" s="6" t="inlineStr"/>
    </row>
    <row r="62" ht="78" customHeight="1">
      <c r="A62" s="3" t="inlineStr">
        <is>
          <t>D9</t>
        </is>
      </c>
      <c r="B62" s="3" t="inlineStr">
        <is>
          <t>P5 POC build / G5</t>
        </is>
      </c>
      <c r="C62" s="3" t="inlineStr">
        <is>
          <t>D9-T2</t>
        </is>
      </c>
      <c r="D62" s="3" t="inlineStr">
        <is>
          <t>Finalize WF-C options + demo narrative</t>
        </is>
      </c>
      <c r="E62" s="3" t="inlineStr">
        <is>
          <t>What to implement: Finalize WF-C options + demo narrative
Expected functionality: Demo script shows draft-only options and constraint violations. No shipment/allocation language.
Important considerations: Work only under submission/; preserve immutable challenge evidence; Agents may be used only after G4 PASS; still no prohibited autonomy. FINAL ref §6.4. Reviewer FDE-4 (author ≠ sole approver). Gate context: G5.
Expected output / completion criteria: Demo script shows draft-only options + constraint violations</t>
        </is>
      </c>
      <c r="F62" s="3" t="inlineStr">
        <is>
          <t>FDE-1</t>
        </is>
      </c>
      <c r="G62" s="3" t="inlineStr">
        <is>
          <t>Critical</t>
        </is>
      </c>
      <c r="H62" s="3" t="inlineStr">
        <is>
          <t>Not Started</t>
        </is>
      </c>
      <c r="I62" s="4" t="n">
        <v>46246</v>
      </c>
      <c r="J62" s="4" t="n">
        <v>46246</v>
      </c>
      <c r="K62" s="4" t="n"/>
      <c r="L62" s="3" t="inlineStr">
        <is>
          <t>Prior day exit (D8); seat capacity</t>
        </is>
      </c>
      <c r="M62" s="3" t="inlineStr"/>
      <c r="N62" s="5" t="n">
        <v>0</v>
      </c>
      <c r="O62" s="3" t="inlineStr">
        <is>
          <t>FDE-4</t>
        </is>
      </c>
      <c r="P62" s="3" t="inlineStr">
        <is>
          <t>G5</t>
        </is>
      </c>
      <c r="Q62" s="3" t="inlineStr">
        <is>
          <t>§6.4</t>
        </is>
      </c>
      <c r="R62" s="3" t="inlineStr">
        <is>
          <t>Demo script shows draft-only options + constraint violations</t>
        </is>
      </c>
      <c r="S62" s="3" t="inlineStr"/>
      <c r="T62" s="3" t="inlineStr"/>
    </row>
    <row r="63" ht="78" customHeight="1">
      <c r="A63" s="6" t="inlineStr">
        <is>
          <t>D9</t>
        </is>
      </c>
      <c r="B63" s="6" t="inlineStr">
        <is>
          <t>P5 POC build / G5</t>
        </is>
      </c>
      <c r="C63" s="6" t="inlineStr">
        <is>
          <t>D9-T3</t>
        </is>
      </c>
      <c r="D63" s="6" t="inlineStr">
        <is>
          <t>Finalize WF-B domain (duplicates/clocks/listedness/reviews)</t>
        </is>
      </c>
      <c r="E63" s="6" t="inlineStr">
        <is>
          <t>What to implement: Finalize WF-B domain (duplicates/clocks/listedness/reviews)
Expected functionality: Populate required PV fields; both MedDRA versions / listedness_context as required; never emit final safety conclusions.
Important considerations: Work only under submission/; preserve immutable challenge evidence; Agents may be used only after G4 PASS; still no prohibited autonomy. FINAL ref §11.3 PV. Reviewer FDE-4 (author ≠ sole approver). Gate context: G5.
Expected output / completion criteria: Required PV fields populated; no final safety conclusions</t>
        </is>
      </c>
      <c r="F63" s="6" t="inlineStr">
        <is>
          <t>FDE-2</t>
        </is>
      </c>
      <c r="G63" s="6" t="inlineStr">
        <is>
          <t>Critical</t>
        </is>
      </c>
      <c r="H63" s="6" t="inlineStr">
        <is>
          <t>Not Started</t>
        </is>
      </c>
      <c r="I63" s="7" t="n">
        <v>46246</v>
      </c>
      <c r="J63" s="7" t="n">
        <v>46246</v>
      </c>
      <c r="K63" s="7" t="n"/>
      <c r="L63" s="6" t="inlineStr">
        <is>
          <t>Prior day exit (D8); seat capacity</t>
        </is>
      </c>
      <c r="M63" s="6" t="inlineStr"/>
      <c r="N63" s="8" t="n">
        <v>0</v>
      </c>
      <c r="O63" s="6" t="inlineStr">
        <is>
          <t>FDE-4</t>
        </is>
      </c>
      <c r="P63" s="6" t="inlineStr">
        <is>
          <t>G5</t>
        </is>
      </c>
      <c r="Q63" s="6" t="inlineStr">
        <is>
          <t>§11.3 PV</t>
        </is>
      </c>
      <c r="R63" s="6" t="inlineStr">
        <is>
          <t>Required PV fields populated; no final safety conclusions</t>
        </is>
      </c>
      <c r="S63" s="6" t="inlineStr"/>
      <c r="T63" s="6" t="inlineStr"/>
    </row>
    <row r="64" ht="78" customHeight="1">
      <c r="A64" s="3" t="inlineStr">
        <is>
          <t>D9</t>
        </is>
      </c>
      <c r="B64" s="3" t="inlineStr">
        <is>
          <t>P5 POC build / G5</t>
        </is>
      </c>
      <c r="C64" s="3" t="inlineStr">
        <is>
          <t>D9-T4</t>
        </is>
      </c>
      <c r="D64" s="3" t="inlineStr">
        <is>
          <t>Dual PV sign-off with FDE-2; no final safety fields</t>
        </is>
      </c>
      <c r="E64" s="3" t="inlineStr">
        <is>
          <t>What to implement: Dual PV sign-off with FDE-2; no final safety fields
Expected functionality: Joint sign record with FDE-2. Schema scan confirms no prohibited final-safety properties.
Important considerations: Work only under submission/; preserve immutable challenge evidence; Agents may be used only after G4 PASS; still no prohibited autonomy. FINAL ref §6.4. Reviewer FDE-5 (author ≠ sole approver). Gate context: G5.
Expected output / completion criteria: Joint sign record; schema scan shows no prohibited properties</t>
        </is>
      </c>
      <c r="F64" s="3" t="inlineStr">
        <is>
          <t>FDE-4</t>
        </is>
      </c>
      <c r="G64" s="3" t="inlineStr">
        <is>
          <t>Critical</t>
        </is>
      </c>
      <c r="H64" s="3" t="inlineStr">
        <is>
          <t>Not Started</t>
        </is>
      </c>
      <c r="I64" s="4" t="n">
        <v>46246</v>
      </c>
      <c r="J64" s="4" t="n">
        <v>46246</v>
      </c>
      <c r="K64" s="4" t="n"/>
      <c r="L64" s="3" t="inlineStr">
        <is>
          <t>Prior day exit (D8); seat capacity</t>
        </is>
      </c>
      <c r="M64" s="3" t="inlineStr"/>
      <c r="N64" s="5" t="n">
        <v>0</v>
      </c>
      <c r="O64" s="3" t="inlineStr">
        <is>
          <t>FDE-5</t>
        </is>
      </c>
      <c r="P64" s="3" t="inlineStr">
        <is>
          <t>G5</t>
        </is>
      </c>
      <c r="Q64" s="3" t="inlineStr">
        <is>
          <t>§6.4</t>
        </is>
      </c>
      <c r="R64" s="3" t="inlineStr">
        <is>
          <t>Joint sign record; schema scan shows no prohibited properties</t>
        </is>
      </c>
      <c r="S64" s="3" t="inlineStr"/>
      <c r="T64" s="3" t="inlineStr"/>
    </row>
    <row r="65" ht="78" customHeight="1">
      <c r="A65" s="6" t="inlineStr">
        <is>
          <t>D9</t>
        </is>
      </c>
      <c r="B65" s="6" t="inlineStr">
        <is>
          <t>P5 POC build / G5</t>
        </is>
      </c>
      <c r="C65" s="6" t="inlineStr">
        <is>
          <t>D9-T5</t>
        </is>
      </c>
      <c r="D65" s="6" t="inlineStr">
        <is>
          <t>Prohibited-action suite fail-closed; subgroup smoke</t>
        </is>
      </c>
      <c r="E65" s="6" t="inlineStr">
        <is>
          <t>What to implement: Prohibited-action suite fail-closed; subgroup smoke
Expected functionality: Negatives fail closed. Demonstrate ≥1 abstain path. Wire graders into runner for G5 evidence.
Important considerations: Work only under submission/; preserve immutable challenge evidence; Agents may be used only after G4 PASS; still no prohibited autonomy. FINAL ref §11.5, §8.2 G5. Reviewer FDE-3 (author ≠ sole approver). Gate context: G5.
Expected output / completion criteria: Negatives fail; at least one abstain path demonstrated</t>
        </is>
      </c>
      <c r="F65" s="6" t="inlineStr">
        <is>
          <t>FDE-5</t>
        </is>
      </c>
      <c r="G65" s="6" t="inlineStr">
        <is>
          <t>Critical</t>
        </is>
      </c>
      <c r="H65" s="6" t="inlineStr">
        <is>
          <t>Not Started</t>
        </is>
      </c>
      <c r="I65" s="7" t="n">
        <v>46246</v>
      </c>
      <c r="J65" s="7" t="n">
        <v>46246</v>
      </c>
      <c r="K65" s="7" t="n"/>
      <c r="L65" s="6" t="inlineStr">
        <is>
          <t>D6-T2; D9-T1</t>
        </is>
      </c>
      <c r="M65" s="6" t="inlineStr"/>
      <c r="N65" s="8" t="n">
        <v>0</v>
      </c>
      <c r="O65" s="6" t="inlineStr">
        <is>
          <t>FDE-3</t>
        </is>
      </c>
      <c r="P65" s="6" t="inlineStr">
        <is>
          <t>G5</t>
        </is>
      </c>
      <c r="Q65" s="6" t="inlineStr">
        <is>
          <t>§11.5, §8.2 G5</t>
        </is>
      </c>
      <c r="R65" s="6" t="inlineStr">
        <is>
          <t>Negatives fail; at least one abstain path demonstrated</t>
        </is>
      </c>
      <c r="S65" s="6" t="inlineStr"/>
      <c r="T65" s="6" t="inlineStr"/>
    </row>
    <row r="66" ht="78" customHeight="1">
      <c r="A66" s="3" t="inlineStr">
        <is>
          <t>D9</t>
        </is>
      </c>
      <c r="B66" s="3" t="inlineStr">
        <is>
          <t>P5 POC build / G5</t>
        </is>
      </c>
      <c r="C66" s="3" t="inlineStr">
        <is>
          <t>D9-T6</t>
        </is>
      </c>
      <c r="D66" s="3" t="inlineStr">
        <is>
          <t>MVP demo pack (happy + abstain)</t>
        </is>
      </c>
      <c r="E66" s="3" t="inlineStr">
        <is>
          <t>What to implement: MVP demo pack (happy + abstain)
Expected functionality: Recorded run with scenario IDs, input hashes, reviewer, gate outcome fields. Happy path + abstain path.
Important considerations: Work only under submission/; preserve immutable challenge evidence; Agents may be used only after G4 PASS; still no prohibited autonomy. FINAL ref §8.2 G5, M5. Reviewer FDE-1 facilitates (author ≠ sole approver). Gate context: G5.
Expected output / completion criteria: Recorded run: scenario IDs, hashes, reviewer, gate outcome fields ready</t>
        </is>
      </c>
      <c r="F66" s="3" t="inlineStr">
        <is>
          <t>All</t>
        </is>
      </c>
      <c r="G66" s="3" t="inlineStr">
        <is>
          <t>Critical</t>
        </is>
      </c>
      <c r="H66" s="3" t="inlineStr">
        <is>
          <t>Not Started</t>
        </is>
      </c>
      <c r="I66" s="4" t="n">
        <v>46246</v>
      </c>
      <c r="J66" s="4" t="n">
        <v>46246</v>
      </c>
      <c r="K66" s="4" t="n"/>
      <c r="L66" s="3" t="inlineStr">
        <is>
          <t>D9-T1; D9-T2; D9-T3</t>
        </is>
      </c>
      <c r="M66" s="3" t="inlineStr"/>
      <c r="N66" s="5" t="n">
        <v>0</v>
      </c>
      <c r="O66" s="3" t="inlineStr">
        <is>
          <t>FDE-1 facilitates</t>
        </is>
      </c>
      <c r="P66" s="3" t="inlineStr">
        <is>
          <t>G5</t>
        </is>
      </c>
      <c r="Q66" s="3" t="inlineStr">
        <is>
          <t>§8.2 G5, M5</t>
        </is>
      </c>
      <c r="R66" s="3" t="inlineStr">
        <is>
          <t>Recorded run: scenario IDs, hashes, reviewer, gate outcome fields ready</t>
        </is>
      </c>
      <c r="S66" s="3" t="inlineStr"/>
      <c r="T66" s="3" t="inlineStr"/>
    </row>
    <row r="67" ht="78" customHeight="1">
      <c r="A67" s="6" t="inlineStr">
        <is>
          <t>D10</t>
        </is>
      </c>
      <c r="B67" s="6" t="inlineStr">
        <is>
          <t>P6–P8 TEVV / Ops / Defence</t>
        </is>
      </c>
      <c r="C67" s="6" t="inlineStr">
        <is>
          <t>D10-T1</t>
        </is>
      </c>
      <c r="D67" s="6" t="inlineStr">
        <is>
          <t>Artefacts 22–25; 12 suites via runner+graders+policies; red-team/outage</t>
        </is>
      </c>
      <c r="E67" s="6" t="inlineStr">
        <is>
          <t>What to implement: Artefacts 22–25; 12 suites via runner+graders+policies; red-team/outage
Expected functionality: Complete eval/reliability/incident artefacts. Run 12 suites through full eval stack. Pre-committed thresholds. ≥1 failed-gate demo. Policies auto-fail hard gates.
Important considerations: Work only under submission/; preserve immutable challenge evidence; Agents may be used only after G4 PASS; still no prohibited autonomy. FINAL ref §8 P6, §11.4–11.5, §11.8. Reviewer FDE-4 (22,24,25), FDE-3 (outage) (author ≠ sole approver). Gate context: G6.
Expected output / completion criteria: All 12 suites have evidence; thresholds pre-committed; ≥1 failed-gate demo; policies auto-fail on hard gates</t>
        </is>
      </c>
      <c r="F67" s="6" t="inlineStr">
        <is>
          <t>FDE-5</t>
        </is>
      </c>
      <c r="G67" s="6" t="inlineStr">
        <is>
          <t>Critical</t>
        </is>
      </c>
      <c r="H67" s="6" t="inlineStr">
        <is>
          <t>Not Started</t>
        </is>
      </c>
      <c r="I67" s="7" t="n">
        <v>46247</v>
      </c>
      <c r="J67" s="7" t="n">
        <v>46247</v>
      </c>
      <c r="K67" s="7" t="n"/>
      <c r="L67" s="6" t="inlineStr">
        <is>
          <t>G5 (D9); D7-T6</t>
        </is>
      </c>
      <c r="M67" s="6" t="inlineStr"/>
      <c r="N67" s="8" t="n">
        <v>0</v>
      </c>
      <c r="O67" s="6" t="inlineStr">
        <is>
          <t>FDE-4 (22,24,25), FDE-3 (outage)</t>
        </is>
      </c>
      <c r="P67" s="6" t="inlineStr">
        <is>
          <t>G6</t>
        </is>
      </c>
      <c r="Q67" s="6" t="inlineStr">
        <is>
          <t>§8 P6, §11.4–11.5, §11.8</t>
        </is>
      </c>
      <c r="R67" s="6" t="inlineStr">
        <is>
          <t>All 12 suites have evidence; thresholds pre-committed; ≥1 failed-gate demo; policies auto-fail on hard gates</t>
        </is>
      </c>
      <c r="S67" s="6" t="inlineStr"/>
      <c r="T67" s="6" t="inlineStr"/>
    </row>
    <row r="68" ht="78" customHeight="1">
      <c r="A68" s="3" t="inlineStr">
        <is>
          <t>D10</t>
        </is>
      </c>
      <c r="B68" s="3" t="inlineStr">
        <is>
          <t>P6–P8 TEVV / Ops / Defence</t>
        </is>
      </c>
      <c r="C68" s="3" t="inlineStr">
        <is>
          <t>D10-T2</t>
        </is>
      </c>
      <c r="D68" s="3" t="inlineStr">
        <is>
          <t>Write test_results.json + evaluation_results.json</t>
        </is>
      </c>
      <c r="E68" s="3" t="inlineStr">
        <is>
          <t>What to implement: Write test_results.json + evaluation_results.json
Expected functionality: Package evidence files per SUBMISSION_EVIDENCE_STANDARD. Stable relative paths. Valid JSON.
Important considerations: Work only under submission/; preserve immutable challenge evidence; Agents may be used only after G4 PASS; still no prohibited autonomy. FINAL ref §7.2, SUBMISSION_EVIDENCE_STANDARD. Reviewer FDE-3 (author ≠ sole approver). Gate context: G6.
Expected output / completion criteria: Required fields present; JSON parses; paths relative/stable</t>
        </is>
      </c>
      <c r="F68" s="3" t="inlineStr">
        <is>
          <t>FDE-5</t>
        </is>
      </c>
      <c r="G68" s="3" t="inlineStr">
        <is>
          <t>Critical</t>
        </is>
      </c>
      <c r="H68" s="3" t="inlineStr">
        <is>
          <t>Not Started</t>
        </is>
      </c>
      <c r="I68" s="4" t="n">
        <v>46247</v>
      </c>
      <c r="J68" s="4" t="n">
        <v>46247</v>
      </c>
      <c r="K68" s="4" t="n"/>
      <c r="L68" s="3" t="inlineStr">
        <is>
          <t>D10-T1</t>
        </is>
      </c>
      <c r="M68" s="3" t="inlineStr"/>
      <c r="N68" s="5" t="n">
        <v>0</v>
      </c>
      <c r="O68" s="3" t="inlineStr">
        <is>
          <t>FDE-3</t>
        </is>
      </c>
      <c r="P68" s="3" t="inlineStr">
        <is>
          <t>G6</t>
        </is>
      </c>
      <c r="Q68" s="3" t="inlineStr">
        <is>
          <t>§7.2, SUBMISSION_EVIDENCE_STANDARD</t>
        </is>
      </c>
      <c r="R68" s="3" t="inlineStr">
        <is>
          <t>Required fields present; JSON parses; paths relative/stable</t>
        </is>
      </c>
      <c r="S68" s="3" t="inlineStr"/>
      <c r="T68" s="3" t="inlineStr"/>
    </row>
    <row r="69" ht="78" customHeight="1">
      <c r="A69" s="6" t="inlineStr">
        <is>
          <t>D10</t>
        </is>
      </c>
      <c r="B69" s="6" t="inlineStr">
        <is>
          <t>P6–P8 TEVV / Ops / Defence</t>
        </is>
      </c>
      <c r="C69" s="6" t="inlineStr">
        <is>
          <t>D10-T3</t>
        </is>
      </c>
      <c r="D69" s="6" t="inlineStr">
        <is>
          <t>Artefacts 23/26/29/30; fold delivery FinOps into 23</t>
        </is>
      </c>
      <c r="E69" s="6" t="inlineStr">
        <is>
          <t>What to implement: Artefacts 23/26/29/30; fold delivery FinOps into 23
Expected functionality: FinOps (23) includes human review cost and cites finops_delivery_log.csv. TOM (26), roadmap (29), pitch (30). Recommendation enum draft.
Important considerations: Work only under submission/; preserve immutable challenge evidence; Agents may be used only after G4 PASS; still no prohibited autonomy. FINAL ref §8 P6–P8, §11.9, §12. Reviewer FDE-5 (23), FDE-4 (26/29/30) (author ≠ sole approver). Gate context: G6–G8.
Expected output / completion criteria: Cost includes human review; delivery FinOps log cited; pitch has residual risk; recommendation enum set</t>
        </is>
      </c>
      <c r="F69" s="6" t="inlineStr">
        <is>
          <t>FDE-1</t>
        </is>
      </c>
      <c r="G69" s="6" t="inlineStr">
        <is>
          <t>High</t>
        </is>
      </c>
      <c r="H69" s="6" t="inlineStr">
        <is>
          <t>Not Started</t>
        </is>
      </c>
      <c r="I69" s="7" t="n">
        <v>46247</v>
      </c>
      <c r="J69" s="7" t="n">
        <v>46247</v>
      </c>
      <c r="K69" s="7" t="n"/>
      <c r="L69" s="6" t="inlineStr">
        <is>
          <t>Prior day exit (D9); seat capacity</t>
        </is>
      </c>
      <c r="M69" s="6" t="inlineStr"/>
      <c r="N69" s="8" t="n">
        <v>0</v>
      </c>
      <c r="O69" s="6" t="inlineStr">
        <is>
          <t>FDE-5 (23), FDE-4 (26/29/30)</t>
        </is>
      </c>
      <c r="P69" s="6" t="inlineStr">
        <is>
          <t>G6–G8</t>
        </is>
      </c>
      <c r="Q69" s="6" t="inlineStr">
        <is>
          <t>§8 P6–P8, §11.9, §12</t>
        </is>
      </c>
      <c r="R69" s="6" t="inlineStr">
        <is>
          <t>Cost includes human review; delivery FinOps log cited; pitch has residual risk; recommendation enum set</t>
        </is>
      </c>
      <c r="S69" s="6" t="inlineStr"/>
      <c r="T69" s="6" t="inlineStr"/>
    </row>
    <row r="70" ht="78" customHeight="1">
      <c r="A70" s="3" t="inlineStr">
        <is>
          <t>D10</t>
        </is>
      </c>
      <c r="B70" s="3" t="inlineStr">
        <is>
          <t>P6–P8 TEVV / Ops / Defence</t>
        </is>
      </c>
      <c r="C70" s="3" t="inlineStr">
        <is>
          <t>D10-T4</t>
        </is>
      </c>
      <c r="D70" s="3" t="inlineStr">
        <is>
          <t>Subgroup/multilingual evidence; inspection support; PV suites</t>
        </is>
      </c>
      <c r="E70" s="3" t="inlineStr">
        <is>
          <t>What to implement: Subgroup/multilingual evidence; inspection support; PV suites
Expected functionality: Subgroup gaps explicit. Inspection path to immutable challenge evidence. Support PV evaluation suites.
Important considerations: Work only under submission/; preserve immutable challenge evidence; Agents may be used only after G4 PASS; still no prohibited autonomy. FINAL ref §11.4 #7/#10. Reviewer FDE-5 (author ≠ sole approver). Gate context: G6.
Expected output / completion criteria: Subgroup gaps explicit; inspection path to immutable evidence</t>
        </is>
      </c>
      <c r="F70" s="3" t="inlineStr">
        <is>
          <t>FDE-2</t>
        </is>
      </c>
      <c r="G70" s="3" t="inlineStr">
        <is>
          <t>Critical</t>
        </is>
      </c>
      <c r="H70" s="3" t="inlineStr">
        <is>
          <t>Not Started</t>
        </is>
      </c>
      <c r="I70" s="4" t="n">
        <v>46247</v>
      </c>
      <c r="J70" s="4" t="n">
        <v>46247</v>
      </c>
      <c r="K70" s="4" t="n"/>
      <c r="L70" s="3" t="inlineStr">
        <is>
          <t>Prior day exit (D9); seat capacity</t>
        </is>
      </c>
      <c r="M70" s="3" t="inlineStr"/>
      <c r="N70" s="5" t="n">
        <v>0</v>
      </c>
      <c r="O70" s="3" t="inlineStr">
        <is>
          <t>FDE-5</t>
        </is>
      </c>
      <c r="P70" s="3" t="inlineStr">
        <is>
          <t>G6</t>
        </is>
      </c>
      <c r="Q70" s="3" t="inlineStr">
        <is>
          <t>§11.4 #7/#10</t>
        </is>
      </c>
      <c r="R70" s="3" t="inlineStr">
        <is>
          <t>Subgroup gaps explicit; inspection path to immutable evidence</t>
        </is>
      </c>
      <c r="S70" s="3" t="inlineStr"/>
      <c r="T70" s="3" t="inlineStr"/>
    </row>
    <row r="71" ht="78" customHeight="1">
      <c r="A71" s="6" t="inlineStr">
        <is>
          <t>D10</t>
        </is>
      </c>
      <c r="B71" s="6" t="inlineStr">
        <is>
          <t>P6–P8 TEVV / Ops / Defence</t>
        </is>
      </c>
      <c r="C71" s="6" t="inlineStr">
        <is>
          <t>D10-T5</t>
        </is>
      </c>
      <c r="D71" s="6" t="inlineStr">
        <is>
          <t>Clean-room; finalize scripts; freeze; hash; --final</t>
        </is>
      </c>
      <c r="E71" s="6" t="inlineStr">
        <is>
          <t>What to implement: Clean-room; finalize scripts; freeze; hash; --final
Expected functionality: Execute clean-room (§18). Finalize setup/run/test/evaluate/reset. Freeze, hash_submission --check, check_submission_structure --final.
Important considerations: Work only under submission/; preserve immutable challenge evidence; Agents may be used only after G4 PASS; still no prohibited autonomy. FINAL ref §4.3, §18, §19. Reviewer Outsider + FDE-5 (author ≠ sole approver). Gate context: G7.
Expected output / completion criteria: Preflight×2; scripts complete; --check PASS; --final PASS</t>
        </is>
      </c>
      <c r="F71" s="6" t="inlineStr">
        <is>
          <t>FDE-3</t>
        </is>
      </c>
      <c r="G71" s="6" t="inlineStr">
        <is>
          <t>Critical</t>
        </is>
      </c>
      <c r="H71" s="6" t="inlineStr">
        <is>
          <t>Not Started</t>
        </is>
      </c>
      <c r="I71" s="7" t="n">
        <v>46247</v>
      </c>
      <c r="J71" s="7" t="n">
        <v>46247</v>
      </c>
      <c r="K71" s="7" t="n"/>
      <c r="L71" s="6" t="inlineStr">
        <is>
          <t>D10-T1; D10-T2</t>
        </is>
      </c>
      <c r="M71" s="6" t="inlineStr"/>
      <c r="N71" s="8" t="n">
        <v>0</v>
      </c>
      <c r="O71" s="6" t="inlineStr">
        <is>
          <t>Outsider + FDE-5</t>
        </is>
      </c>
      <c r="P71" s="6" t="inlineStr">
        <is>
          <t>G7</t>
        </is>
      </c>
      <c r="Q71" s="6" t="inlineStr">
        <is>
          <t>§4.3, §18, §19</t>
        </is>
      </c>
      <c r="R71" s="6" t="inlineStr">
        <is>
          <t>Preflight×2; scripts complete; --check PASS; --final PASS</t>
        </is>
      </c>
      <c r="S71" s="6" t="inlineStr"/>
      <c r="T71" s="6" t="inlineStr"/>
    </row>
    <row r="72" ht="78" customHeight="1">
      <c r="A72" s="3" t="inlineStr">
        <is>
          <t>D10</t>
        </is>
      </c>
      <c r="B72" s="3" t="inlineStr">
        <is>
          <t>P6–P8 TEVV / Ops / Defence</t>
        </is>
      </c>
      <c r="C72" s="3" t="inlineStr">
        <is>
          <t>D10-T6</t>
        </is>
      </c>
      <c r="D72" s="3" t="inlineStr">
        <is>
          <t>Inspection drill; residual risk; defence 4/5/11; 27 vendor exit</t>
        </is>
      </c>
      <c r="E72" s="3" t="inlineStr">
        <is>
          <t>What to implement: Inspection drill; residual risk; defence 4/5/11; 27 vendor exit
Expected functionality: Run inspection drill. Update residual risk. Draft artefact 27 (vendor exit) for RUB-15. Prep defence elements 4/5/11.
Important considerations: Work only under submission/; preserve immutable challenge evidence; Agents may be used only after G4 PASS; still no prohibited autonomy. FINAL ref §11.6, §12. Reviewer FDE-5 (author ≠ sole approver). Gate context: G7–G8.
Expected output / completion criteria: Drill record; 27 hard-gate RUB-15 addressed</t>
        </is>
      </c>
      <c r="F72" s="3" t="inlineStr">
        <is>
          <t>FDE-4</t>
        </is>
      </c>
      <c r="G72" s="3" t="inlineStr">
        <is>
          <t>High</t>
        </is>
      </c>
      <c r="H72" s="3" t="inlineStr">
        <is>
          <t>Not Started</t>
        </is>
      </c>
      <c r="I72" s="4" t="n">
        <v>46247</v>
      </c>
      <c r="J72" s="4" t="n">
        <v>46247</v>
      </c>
      <c r="K72" s="4" t="n"/>
      <c r="L72" s="3" t="inlineStr">
        <is>
          <t>Prior day exit (D9); seat capacity</t>
        </is>
      </c>
      <c r="M72" s="3" t="inlineStr"/>
      <c r="N72" s="5" t="n">
        <v>0</v>
      </c>
      <c r="O72" s="3" t="inlineStr">
        <is>
          <t>FDE-5</t>
        </is>
      </c>
      <c r="P72" s="3" t="inlineStr">
        <is>
          <t>G7–G8</t>
        </is>
      </c>
      <c r="Q72" s="3" t="inlineStr">
        <is>
          <t>§11.6, §12</t>
        </is>
      </c>
      <c r="R72" s="3" t="inlineStr">
        <is>
          <t>Drill record; 27 hard-gate RUB-15 addressed</t>
        </is>
      </c>
      <c r="S72" s="3" t="inlineStr"/>
      <c r="T72" s="3" t="inlineStr"/>
    </row>
    <row r="73" ht="78" customHeight="1">
      <c r="A73" s="6" t="inlineStr">
        <is>
          <t>D10</t>
        </is>
      </c>
      <c r="B73" s="6" t="inlineStr">
        <is>
          <t>P6–P8 TEVV / Ops / Defence</t>
        </is>
      </c>
      <c r="C73" s="6" t="inlineStr">
        <is>
          <t>D10-T7</t>
        </is>
      </c>
      <c r="D73" s="6" t="inlineStr">
        <is>
          <t>Rehearse 13 defence elements; board recommendation</t>
        </is>
      </c>
      <c r="E73" s="6" t="inlineStr">
        <is>
          <t>What to implement: Rehearse 13 defence elements; board recommendation
Expected functionality: Name presenter per defence element. Record go/conditional/pivot/pause/stop recommendation.
Important considerations: Work only under submission/; preserve immutable challenge evidence; Agents may be used only after G4 PASS; still no prohibited autonomy. FINAL ref §11.6, §8.2 G8. Reviewer Full team (author ≠ sole approver). Gate context: G8.
Expected output / completion criteria: Named presenter per element; recommendation recorded</t>
        </is>
      </c>
      <c r="F73" s="6" t="inlineStr">
        <is>
          <t>All</t>
        </is>
      </c>
      <c r="G73" s="6" t="inlineStr">
        <is>
          <t>Critical</t>
        </is>
      </c>
      <c r="H73" s="6" t="inlineStr">
        <is>
          <t>Not Started</t>
        </is>
      </c>
      <c r="I73" s="7" t="n">
        <v>46247</v>
      </c>
      <c r="J73" s="7" t="n">
        <v>46247</v>
      </c>
      <c r="K73" s="7" t="n"/>
      <c r="L73" s="6" t="inlineStr">
        <is>
          <t>Prior day exit (D9); seat capacity</t>
        </is>
      </c>
      <c r="M73" s="6" t="inlineStr"/>
      <c r="N73" s="8" t="n">
        <v>0</v>
      </c>
      <c r="O73" s="6" t="inlineStr">
        <is>
          <t>Full team</t>
        </is>
      </c>
      <c r="P73" s="6" t="inlineStr">
        <is>
          <t>G8</t>
        </is>
      </c>
      <c r="Q73" s="6" t="inlineStr">
        <is>
          <t>§11.6, §8.2 G8</t>
        </is>
      </c>
      <c r="R73" s="6" t="inlineStr">
        <is>
          <t>Named presenter per element; recommendation recorded</t>
        </is>
      </c>
      <c r="S73" s="6" t="inlineStr"/>
      <c r="T73" s="6" t="inlineStr"/>
    </row>
    <row r="74" ht="78" customHeight="1">
      <c r="A74" s="3" t="inlineStr">
        <is>
          <t>D10</t>
        </is>
      </c>
      <c r="B74" s="3" t="inlineStr">
        <is>
          <t>P6–P8 TEVV / Ops / Defence</t>
        </is>
      </c>
      <c r="C74" s="3" t="inlineStr">
        <is>
          <t>D10-T8</t>
        </is>
      </c>
      <c r="D74" s="3" t="inlineStr">
        <is>
          <t>Eval step 6 reports: full report set vs baseline</t>
        </is>
      </c>
      <c r="E74" s="3" t="inlineStr">
        <is>
          <t>What to implement: Eval step 6 reports: full report set vs baseline
Expected functionality: Emit summary.json, detailed_results.jsonl, scorecard.csv, failed_cases.json, final_evaluation_report.md under evaluation/reports/. Call out baseline vs improved.
Important considerations: Work only under submission/; preserve immutable challenge evidence; Agents may be used only after G4 PASS; still no prohibited autonomy. FINAL ref §11.8 reports. Reviewer FDE-2 (author ≠ sole approver). Gate context: G6.
Expected output / completion criteria: Full report set present; baseline comparison called out</t>
        </is>
      </c>
      <c r="F74" s="3" t="inlineStr">
        <is>
          <t>FDE-5</t>
        </is>
      </c>
      <c r="G74" s="3" t="inlineStr">
        <is>
          <t>Critical</t>
        </is>
      </c>
      <c r="H74" s="3" t="inlineStr">
        <is>
          <t>Not Started</t>
        </is>
      </c>
      <c r="I74" s="4" t="n">
        <v>46247</v>
      </c>
      <c r="J74" s="4" t="n">
        <v>46247</v>
      </c>
      <c r="K74" s="4" t="n"/>
      <c r="L74" s="3" t="inlineStr">
        <is>
          <t>D8-T8; D10-T1</t>
        </is>
      </c>
      <c r="M74" s="3" t="inlineStr"/>
      <c r="N74" s="5" t="n">
        <v>0</v>
      </c>
      <c r="O74" s="3" t="inlineStr">
        <is>
          <t>FDE-2</t>
        </is>
      </c>
      <c r="P74" s="3" t="inlineStr">
        <is>
          <t>G6</t>
        </is>
      </c>
      <c r="Q74" s="3" t="inlineStr">
        <is>
          <t>§11.8 reports</t>
        </is>
      </c>
      <c r="R74" s="3" t="inlineStr">
        <is>
          <t>Full report set present; baseline comparison called out</t>
        </is>
      </c>
      <c r="S74" s="3" t="inlineStr"/>
      <c r="T74" s="3" t="inlineStr"/>
    </row>
    <row r="75" ht="78" customHeight="1">
      <c r="A75" s="6" t="inlineStr">
        <is>
          <t>D10</t>
        </is>
      </c>
      <c r="B75" s="6" t="inlineStr">
        <is>
          <t>P6–P8 TEVV / Ops / Defence</t>
        </is>
      </c>
      <c r="C75" s="6" t="inlineStr">
        <is>
          <t>D10-T9</t>
        </is>
      </c>
      <c r="D75" s="6" t="inlineStr">
        <is>
          <t>Close FinOps delivery log through D10; efficiency summary</t>
        </is>
      </c>
      <c r="E75" s="6" t="inlineStr">
        <is>
          <t>What to implement: Close FinOps delivery log through D10; efficiency summary
Expected functionality: Ensure all Track-A days have FinOps rows. Write summary (sessions/iterations/suite runs → outcomes) for artefact 23 and defence element 9.
Important considerations: Work only under submission/; preserve immutable challenge evidence; Agents may be used only after G4 PASS; still no prohibited autonomy. FINAL ref §11.9. Reviewer FDE-5 (author ≠ sole approver). Gate context: G6–G8.
Expected output / completion criteria: All Track-A days have rows; summary paragraph for artefact 23 / defence element 9</t>
        </is>
      </c>
      <c r="F75" s="6" t="inlineStr">
        <is>
          <t>FDE-1</t>
        </is>
      </c>
      <c r="G75" s="6" t="inlineStr">
        <is>
          <t>High</t>
        </is>
      </c>
      <c r="H75" s="6" t="inlineStr">
        <is>
          <t>Not Started</t>
        </is>
      </c>
      <c r="I75" s="7" t="n">
        <v>46247</v>
      </c>
      <c r="J75" s="7" t="n">
        <v>46247</v>
      </c>
      <c r="K75" s="7" t="n"/>
      <c r="L75" s="6" t="inlineStr">
        <is>
          <t>D1-T9; D10-T3</t>
        </is>
      </c>
      <c r="M75" s="6" t="inlineStr"/>
      <c r="N75" s="8" t="n">
        <v>0</v>
      </c>
      <c r="O75" s="6" t="inlineStr">
        <is>
          <t>FDE-5</t>
        </is>
      </c>
      <c r="P75" s="6" t="inlineStr">
        <is>
          <t>G6–G8</t>
        </is>
      </c>
      <c r="Q75" s="6" t="inlineStr">
        <is>
          <t>§11.9</t>
        </is>
      </c>
      <c r="R75" s="6" t="inlineStr">
        <is>
          <t>All Track-A days have rows; summary paragraph for artefact 23 / defence element 9</t>
        </is>
      </c>
      <c r="S75" s="6" t="inlineStr"/>
      <c r="T75" s="6" t="inlineStr"/>
    </row>
    <row r="76" ht="78" customHeight="1">
      <c r="A76" s="3" t="inlineStr">
        <is>
          <t>D11</t>
        </is>
      </c>
      <c r="B76" s="3" t="inlineStr">
        <is>
          <t>P9 Hardening</t>
        </is>
      </c>
      <c r="C76" s="3" t="inlineStr">
        <is>
          <t>D11-T1</t>
        </is>
      </c>
      <c r="D76" s="3" t="inlineStr">
        <is>
          <t>App packaging &amp; config; versioned RC; locked deps</t>
        </is>
      </c>
      <c r="E76" s="3" t="inlineStr">
        <is>
          <t>What to implement: App packaging &amp; config; versioned RC; locked deps
Expected functionality: Package app for RC. Version ID + lockfile or stdlib mode documented. Track B only.
Important considerations: Work only under submission/; preserve immutable challenge evidence; Agents may be used only after G4 PASS; still no prohibited autonomy. FINAL ref §8.1. Reviewer FDE-5 (author ≠ sole approver). Gate context: P9.
Expected output / completion criteria: RC version ID; lockfile/stdlib mode documented</t>
        </is>
      </c>
      <c r="F76" s="3" t="inlineStr">
        <is>
          <t>FDE-3</t>
        </is>
      </c>
      <c r="G76" s="3" t="inlineStr">
        <is>
          <t>High</t>
        </is>
      </c>
      <c r="H76" s="3" t="inlineStr">
        <is>
          <t>Not Started</t>
        </is>
      </c>
      <c r="I76" s="4" t="n">
        <v>46248</v>
      </c>
      <c r="J76" s="4" t="n">
        <v>46248</v>
      </c>
      <c r="K76" s="4" t="n"/>
      <c r="L76" s="3" t="inlineStr">
        <is>
          <t>G8 (D10)</t>
        </is>
      </c>
      <c r="M76" s="3" t="inlineStr"/>
      <c r="N76" s="5" t="n">
        <v>0</v>
      </c>
      <c r="O76" s="3" t="inlineStr">
        <is>
          <t>FDE-5</t>
        </is>
      </c>
      <c r="P76" s="3" t="inlineStr">
        <is>
          <t>P9</t>
        </is>
      </c>
      <c r="Q76" s="3" t="inlineStr">
        <is>
          <t>§8.1</t>
        </is>
      </c>
      <c r="R76" s="3" t="inlineStr">
        <is>
          <t>RC version ID; lockfile/stdlib mode documented</t>
        </is>
      </c>
      <c r="S76" s="3" t="inlineStr"/>
      <c r="T76" s="3" t="inlineStr"/>
    </row>
    <row r="77" ht="78" customHeight="1">
      <c r="A77" s="6" t="inlineStr">
        <is>
          <t>D11</t>
        </is>
      </c>
      <c r="B77" s="6" t="inlineStr">
        <is>
          <t>P9 Hardening</t>
        </is>
      </c>
      <c r="C77" s="6" t="inlineStr">
        <is>
          <t>D11-T2</t>
        </is>
      </c>
      <c r="D77" s="6" t="inlineStr">
        <is>
          <t>Observability &amp; SLOs / error budget</t>
        </is>
      </c>
      <c r="E77" s="6" t="inlineStr">
        <is>
          <t>What to implement: Observability &amp; SLOs / error budget
Expected functionality: Define metrics/logs and error budget against G1 NFRs.
Important considerations: Work only under submission/; preserve immutable challenge evidence; Agents may be used only after G4 PASS; still no prohibited autonomy. FINAL ref §8.1. Reviewer FDE-4 (author ≠ sole approver). Gate context: P9.
Expected output / completion criteria: Metrics/logs defined; error budget stated</t>
        </is>
      </c>
      <c r="F77" s="6" t="inlineStr">
        <is>
          <t>FDE-5+FDE-3</t>
        </is>
      </c>
      <c r="G77" s="6" t="inlineStr">
        <is>
          <t>High</t>
        </is>
      </c>
      <c r="H77" s="6" t="inlineStr">
        <is>
          <t>Not Started</t>
        </is>
      </c>
      <c r="I77" s="7" t="n">
        <v>46248</v>
      </c>
      <c r="J77" s="7" t="n">
        <v>46248</v>
      </c>
      <c r="K77" s="7" t="n"/>
      <c r="L77" s="6" t="inlineStr">
        <is>
          <t>Prior day exit (D10); seat capacity</t>
        </is>
      </c>
      <c r="M77" s="6" t="inlineStr"/>
      <c r="N77" s="8" t="n">
        <v>0</v>
      </c>
      <c r="O77" s="6" t="inlineStr">
        <is>
          <t>FDE-4</t>
        </is>
      </c>
      <c r="P77" s="6" t="inlineStr">
        <is>
          <t>P9</t>
        </is>
      </c>
      <c r="Q77" s="6" t="inlineStr">
        <is>
          <t>§8.1</t>
        </is>
      </c>
      <c r="R77" s="6" t="inlineStr">
        <is>
          <t>Metrics/logs defined; error budget stated</t>
        </is>
      </c>
      <c r="S77" s="6" t="inlineStr"/>
      <c r="T77" s="6" t="inlineStr"/>
    </row>
    <row r="78" ht="78" customHeight="1">
      <c r="A78" s="3" t="inlineStr">
        <is>
          <t>D11</t>
        </is>
      </c>
      <c r="B78" s="3" t="inlineStr">
        <is>
          <t>P9 Hardening</t>
        </is>
      </c>
      <c r="C78" s="3" t="inlineStr">
        <is>
          <t>D11-T3</t>
        </is>
      </c>
      <c r="D78" s="3" t="inlineStr">
        <is>
          <t>Support runbooks (OPS, AI-disabled, kill switch)</t>
        </is>
      </c>
      <c r="E78" s="3" t="inlineStr">
        <is>
          <t>What to implement: Support runbooks (OPS, AI-disabled, kill switch)
Expected functionality: Complete OPERATIONS and AI_DISABLED runbooks with prerequisites, I/O, failure, rollback, kill switch.
Important considerations: Work only under submission/; preserve immutable challenge evidence; Agents may be used only after G4 PASS; still no prohibited autonomy. FINAL ref §8.1, §7.2. Reviewer FDE-3 (author ≠ sole approver). Gate context: P9.
Expected output / completion criteria: Prerequisites/IO/failure/rollback sections present</t>
        </is>
      </c>
      <c r="F78" s="3" t="inlineStr">
        <is>
          <t>FDE-1+FDE-5</t>
        </is>
      </c>
      <c r="G78" s="3" t="inlineStr">
        <is>
          <t>High</t>
        </is>
      </c>
      <c r="H78" s="3" t="inlineStr">
        <is>
          <t>Not Started</t>
        </is>
      </c>
      <c r="I78" s="4" t="n">
        <v>46248</v>
      </c>
      <c r="J78" s="4" t="n">
        <v>46248</v>
      </c>
      <c r="K78" s="4" t="n"/>
      <c r="L78" s="3" t="inlineStr">
        <is>
          <t>Prior day exit (D10); seat capacity</t>
        </is>
      </c>
      <c r="M78" s="3" t="inlineStr"/>
      <c r="N78" s="5" t="n">
        <v>0</v>
      </c>
      <c r="O78" s="3" t="inlineStr">
        <is>
          <t>FDE-3</t>
        </is>
      </c>
      <c r="P78" s="3" t="inlineStr">
        <is>
          <t>P9</t>
        </is>
      </c>
      <c r="Q78" s="3" t="inlineStr">
        <is>
          <t>§8.1, §7.2</t>
        </is>
      </c>
      <c r="R78" s="3" t="inlineStr">
        <is>
          <t>Prerequisites/IO/failure/rollback sections present</t>
        </is>
      </c>
      <c r="S78" s="3" t="inlineStr"/>
      <c r="T78" s="3" t="inlineStr"/>
    </row>
    <row r="79" ht="78" customHeight="1">
      <c r="A79" s="6" t="inlineStr">
        <is>
          <t>D11</t>
        </is>
      </c>
      <c r="B79" s="6" t="inlineStr">
        <is>
          <t>P9 Hardening</t>
        </is>
      </c>
      <c r="C79" s="6" t="inlineStr">
        <is>
          <t>D11-T4</t>
        </is>
      </c>
      <c r="D79" s="6" t="inlineStr">
        <is>
          <t>Accessibility smoke; readiness gaps for 28</t>
        </is>
      </c>
      <c r="E79" s="6" t="inlineStr">
        <is>
          <t>What to implement: Accessibility smoke; readiness gaps for 28
Expected functionality: Keyboard critical-path smoke. Log gaps into readiness artefact 28 backlog.
Important considerations: Work only under submission/; preserve immutable challenge evidence; Agents may be used only after G4 PASS; still no prohibited autonomy. FINAL ref §8.1. Reviewer FDE-5 (author ≠ sole approver). Gate context: P9.
Expected output / completion criteria: Keyboard critical-path result logged</t>
        </is>
      </c>
      <c r="F79" s="6" t="inlineStr">
        <is>
          <t>FDE-4+FDE-1</t>
        </is>
      </c>
      <c r="G79" s="6" t="inlineStr">
        <is>
          <t>High</t>
        </is>
      </c>
      <c r="H79" s="6" t="inlineStr">
        <is>
          <t>Not Started</t>
        </is>
      </c>
      <c r="I79" s="7" t="n">
        <v>46248</v>
      </c>
      <c r="J79" s="7" t="n">
        <v>46248</v>
      </c>
      <c r="K79" s="7" t="n"/>
      <c r="L79" s="6" t="inlineStr">
        <is>
          <t>Prior day exit (D10); seat capacity</t>
        </is>
      </c>
      <c r="M79" s="6" t="inlineStr"/>
      <c r="N79" s="8" t="n">
        <v>0</v>
      </c>
      <c r="O79" s="6" t="inlineStr">
        <is>
          <t>FDE-5</t>
        </is>
      </c>
      <c r="P79" s="6" t="inlineStr">
        <is>
          <t>P9</t>
        </is>
      </c>
      <c r="Q79" s="6" t="inlineStr">
        <is>
          <t>§8.1</t>
        </is>
      </c>
      <c r="R79" s="6" t="inlineStr">
        <is>
          <t>Keyboard critical-path result logged</t>
        </is>
      </c>
      <c r="S79" s="6" t="inlineStr"/>
      <c r="T79" s="6" t="inlineStr"/>
    </row>
    <row r="80" ht="78" customHeight="1">
      <c r="A80" s="3" t="inlineStr">
        <is>
          <t>D11</t>
        </is>
      </c>
      <c r="B80" s="3" t="inlineStr">
        <is>
          <t>P9 Hardening</t>
        </is>
      </c>
      <c r="C80" s="3" t="inlineStr">
        <is>
          <t>D11-T5</t>
        </is>
      </c>
      <c r="D80" s="3" t="inlineStr">
        <is>
          <t>Domain regression checklist on RC</t>
        </is>
      </c>
      <c r="E80" s="3" t="inlineStr">
        <is>
          <t>What to implement: Domain regression checklist on RC
Expected functionality: Checklist covering A/B/C boundary regressions for RC sign-off.
Important considerations: Work only under submission/; preserve immutable challenge evidence; Agents may be used only after G4 PASS; still no prohibited autonomy. FINAL ref §8.1 / owes. Reviewer FDE-4 (author ≠ sole approver). Gate context: P9.
Expected output / completion criteria: Checklist covers A/B/C boundary regressions</t>
        </is>
      </c>
      <c r="F80" s="3" t="inlineStr">
        <is>
          <t>FDE-2</t>
        </is>
      </c>
      <c r="G80" s="3" t="inlineStr">
        <is>
          <t>High</t>
        </is>
      </c>
      <c r="H80" s="3" t="inlineStr">
        <is>
          <t>Not Started</t>
        </is>
      </c>
      <c r="I80" s="4" t="n">
        <v>46248</v>
      </c>
      <c r="J80" s="4" t="n">
        <v>46248</v>
      </c>
      <c r="K80" s="4" t="n"/>
      <c r="L80" s="3" t="inlineStr">
        <is>
          <t>Prior day exit (D10); seat capacity</t>
        </is>
      </c>
      <c r="M80" s="3" t="inlineStr"/>
      <c r="N80" s="5" t="n">
        <v>0</v>
      </c>
      <c r="O80" s="3" t="inlineStr">
        <is>
          <t>FDE-4</t>
        </is>
      </c>
      <c r="P80" s="3" t="inlineStr">
        <is>
          <t>P9</t>
        </is>
      </c>
      <c r="Q80" s="3" t="inlineStr">
        <is>
          <t>§8.1 / owes</t>
        </is>
      </c>
      <c r="R80" s="3" t="inlineStr">
        <is>
          <t>Checklist covers A/B/C boundary regressions</t>
        </is>
      </c>
      <c r="S80" s="3" t="inlineStr"/>
      <c r="T80" s="3" t="inlineStr"/>
    </row>
    <row r="81" ht="78" customHeight="1">
      <c r="A81" s="6" t="inlineStr">
        <is>
          <t>D12</t>
        </is>
      </c>
      <c r="B81" s="6" t="inlineStr">
        <is>
          <t>P9 Hardening</t>
        </is>
      </c>
      <c r="C81" s="6" t="inlineStr">
        <is>
          <t>D12-T1</t>
        </is>
      </c>
      <c r="D81" s="6" t="inlineStr">
        <is>
          <t>Security retest on RC</t>
        </is>
      </c>
      <c r="E81" s="6" t="inlineStr">
        <is>
          <t>What to implement: Security retest on RC
Expected functionality: Re-execute critical threat controls on RC build. Log PASS/FAIL.
Important considerations: Work only under submission/; preserve immutable challenge evidence; Agents may be used only after G4 PASS; still no prohibited autonomy. FINAL ref §8.1. Reviewer FDE-4 (author ≠ sole approver). Gate context: P9.
Expected output / completion criteria: Critical threat controls re-executed on RC; PASS/FAIL logged</t>
        </is>
      </c>
      <c r="F81" s="6" t="inlineStr">
        <is>
          <t>FDE-5</t>
        </is>
      </c>
      <c r="G81" s="6" t="inlineStr">
        <is>
          <t>High</t>
        </is>
      </c>
      <c r="H81" s="6" t="inlineStr">
        <is>
          <t>Not Started</t>
        </is>
      </c>
      <c r="I81" s="7" t="n">
        <v>46249</v>
      </c>
      <c r="J81" s="7" t="n">
        <v>46249</v>
      </c>
      <c r="K81" s="7" t="n"/>
      <c r="L81" s="6" t="inlineStr">
        <is>
          <t>D11-T1</t>
        </is>
      </c>
      <c r="M81" s="6" t="inlineStr"/>
      <c r="N81" s="8" t="n">
        <v>0</v>
      </c>
      <c r="O81" s="6" t="inlineStr">
        <is>
          <t>FDE-4</t>
        </is>
      </c>
      <c r="P81" s="6" t="inlineStr">
        <is>
          <t>P9</t>
        </is>
      </c>
      <c r="Q81" s="6" t="inlineStr">
        <is>
          <t>§8.1</t>
        </is>
      </c>
      <c r="R81" s="6" t="inlineStr">
        <is>
          <t>Critical threat controls re-executed on RC; PASS/FAIL logged</t>
        </is>
      </c>
      <c r="S81" s="6" t="inlineStr"/>
      <c r="T81" s="6" t="inlineStr"/>
    </row>
    <row r="82" ht="78" customHeight="1">
      <c r="A82" s="3" t="inlineStr">
        <is>
          <t>D12</t>
        </is>
      </c>
      <c r="B82" s="3" t="inlineStr">
        <is>
          <t>P9 Hardening</t>
        </is>
      </c>
      <c r="C82" s="3" t="inlineStr">
        <is>
          <t>D12-T2</t>
        </is>
      </c>
      <c r="D82" s="3" t="inlineStr">
        <is>
          <t>Backup/restore + rollback; RTO/RPO evidence</t>
        </is>
      </c>
      <c r="E82" s="3" t="inlineStr">
        <is>
          <t>What to implement: Backup/restore + rollback; RTO/RPO evidence
Expected functionality: Restore drill with evidence path. Record RTO/RPO numbers vs NFRs.
Important considerations: Work only under submission/; preserve immutable challenge evidence; Agents may be used only after G4 PASS; still no prohibited autonomy. FINAL ref §8.1. Reviewer FDE-4 (author ≠ sole approver). Gate context: P9.
Expected output / completion criteria: Restore drill evidence path; RTO/RPO numbers recorded</t>
        </is>
      </c>
      <c r="F82" s="3" t="inlineStr">
        <is>
          <t>FDE-3+FDE-5</t>
        </is>
      </c>
      <c r="G82" s="3" t="inlineStr">
        <is>
          <t>High</t>
        </is>
      </c>
      <c r="H82" s="3" t="inlineStr">
        <is>
          <t>Not Started</t>
        </is>
      </c>
      <c r="I82" s="4" t="n">
        <v>46249</v>
      </c>
      <c r="J82" s="4" t="n">
        <v>46249</v>
      </c>
      <c r="K82" s="4" t="n"/>
      <c r="L82" s="3" t="inlineStr">
        <is>
          <t>Prior day exit (D11); seat capacity</t>
        </is>
      </c>
      <c r="M82" s="3" t="inlineStr"/>
      <c r="N82" s="5" t="n">
        <v>0</v>
      </c>
      <c r="O82" s="3" t="inlineStr">
        <is>
          <t>FDE-4</t>
        </is>
      </c>
      <c r="P82" s="3" t="inlineStr">
        <is>
          <t>P9</t>
        </is>
      </c>
      <c r="Q82" s="3" t="inlineStr">
        <is>
          <t>§8.1</t>
        </is>
      </c>
      <c r="R82" s="3" t="inlineStr">
        <is>
          <t>Restore drill evidence path; RTO/RPO numbers recorded</t>
        </is>
      </c>
      <c r="S82" s="3" t="inlineStr"/>
      <c r="T82" s="3" t="inlineStr"/>
    </row>
    <row r="83" ht="78" customHeight="1">
      <c r="A83" s="6" t="inlineStr">
        <is>
          <t>D12</t>
        </is>
      </c>
      <c r="B83" s="6" t="inlineStr">
        <is>
          <t>P9 Hardening</t>
        </is>
      </c>
      <c r="C83" s="6" t="inlineStr">
        <is>
          <t>D12-T3</t>
        </is>
      </c>
      <c r="D83" s="6" t="inlineStr">
        <is>
          <t>Performance/budget soak</t>
        </is>
      </c>
      <c r="E83" s="6" t="inlineStr">
        <is>
          <t>What to implement: Performance/budget soak
Expected functionality: Soak against declared NFR/FinOps budgets. CONDITIONAL requires RAID.
Important considerations: Work only under submission/; preserve immutable challenge evidence; Agents may be used only after G4 PASS; still no prohibited autonomy. FINAL ref §8.1. Reviewer FDE-1 (author ≠ sole approver). Gate context: P9.
Expected output / completion criteria: Within declared NFR/FinOps budgets or CONDITIONAL with RAID</t>
        </is>
      </c>
      <c r="F83" s="6" t="inlineStr">
        <is>
          <t>FDE-5</t>
        </is>
      </c>
      <c r="G83" s="6" t="inlineStr">
        <is>
          <t>High</t>
        </is>
      </c>
      <c r="H83" s="6" t="inlineStr">
        <is>
          <t>Not Started</t>
        </is>
      </c>
      <c r="I83" s="7" t="n">
        <v>46249</v>
      </c>
      <c r="J83" s="7" t="n">
        <v>46249</v>
      </c>
      <c r="K83" s="7" t="n"/>
      <c r="L83" s="6" t="inlineStr">
        <is>
          <t>Prior day exit (D11); seat capacity</t>
        </is>
      </c>
      <c r="M83" s="6" t="inlineStr"/>
      <c r="N83" s="8" t="n">
        <v>0</v>
      </c>
      <c r="O83" s="6" t="inlineStr">
        <is>
          <t>FDE-1</t>
        </is>
      </c>
      <c r="P83" s="6" t="inlineStr">
        <is>
          <t>P9</t>
        </is>
      </c>
      <c r="Q83" s="6" t="inlineStr">
        <is>
          <t>§8.1</t>
        </is>
      </c>
      <c r="R83" s="6" t="inlineStr">
        <is>
          <t>Within declared NFR/FinOps budgets or CONDITIONAL with RAID</t>
        </is>
      </c>
      <c r="S83" s="6" t="inlineStr"/>
      <c r="T83" s="6" t="inlineStr"/>
    </row>
    <row r="84" ht="78" customHeight="1">
      <c r="A84" s="3" t="inlineStr">
        <is>
          <t>D12</t>
        </is>
      </c>
      <c r="B84" s="3" t="inlineStr">
        <is>
          <t>P9 Hardening</t>
        </is>
      </c>
      <c r="C84" s="3" t="inlineStr">
        <is>
          <t>D12-T4</t>
        </is>
      </c>
      <c r="D84" s="3" t="inlineStr">
        <is>
          <t>TOM support tiers; release decision prep</t>
        </is>
      </c>
      <c r="E84" s="3" t="inlineStr">
        <is>
          <t>What to implement: TOM support tiers; release decision prep
Expected functionality: Name L1/L2/L3 support. Prepare release decision template for G9.
Important considerations: Work only under submission/; preserve immutable challenge evidence; Agents may be used only after G4 PASS; still no prohibited autonomy. FINAL ref §8.1. Reviewer FDE-4 (author ≠ sole approver). Gate context: P9.
Expected output / completion criteria: L1/L2/L3 named; release decision template ready</t>
        </is>
      </c>
      <c r="F84" s="3" t="inlineStr">
        <is>
          <t>FDE-1</t>
        </is>
      </c>
      <c r="G84" s="3" t="inlineStr">
        <is>
          <t>High</t>
        </is>
      </c>
      <c r="H84" s="3" t="inlineStr">
        <is>
          <t>Not Started</t>
        </is>
      </c>
      <c r="I84" s="4" t="n">
        <v>46249</v>
      </c>
      <c r="J84" s="4" t="n">
        <v>46249</v>
      </c>
      <c r="K84" s="4" t="n"/>
      <c r="L84" s="3" t="inlineStr">
        <is>
          <t>Prior day exit (D11); seat capacity</t>
        </is>
      </c>
      <c r="M84" s="3" t="inlineStr"/>
      <c r="N84" s="5" t="n">
        <v>0</v>
      </c>
      <c r="O84" s="3" t="inlineStr">
        <is>
          <t>FDE-4</t>
        </is>
      </c>
      <c r="P84" s="3" t="inlineStr">
        <is>
          <t>P9</t>
        </is>
      </c>
      <c r="Q84" s="3" t="inlineStr">
        <is>
          <t>§8.1</t>
        </is>
      </c>
      <c r="R84" s="3" t="inlineStr">
        <is>
          <t>L1/L2/L3 named; release decision template ready</t>
        </is>
      </c>
      <c r="S84" s="3" t="inlineStr"/>
      <c r="T84" s="3" t="inlineStr"/>
    </row>
    <row r="85" ht="78" customHeight="1">
      <c r="A85" s="6" t="inlineStr">
        <is>
          <t>D12</t>
        </is>
      </c>
      <c r="B85" s="6" t="inlineStr">
        <is>
          <t>P9 Hardening</t>
        </is>
      </c>
      <c r="C85" s="6" t="inlineStr">
        <is>
          <t>D12-T5</t>
        </is>
      </c>
      <c r="D85" s="6" t="inlineStr">
        <is>
          <t>RC domain regression sign-off</t>
        </is>
      </c>
      <c r="E85" s="6" t="inlineStr">
        <is>
          <t>What to implement: RC domain regression sign-off
Expected functionality: Sign that no A/B/C boundary regression on RC.
Important considerations: Work only under submission/; preserve immutable challenge evidence; Agents may be used only after G4 PASS; still no prohibited autonomy. FINAL ref owes G9. Reviewer FDE-4 (author ≠ sole approver). Gate context: P9.
Expected output / completion criteria: Sign record: no boundary regression</t>
        </is>
      </c>
      <c r="F85" s="6" t="inlineStr">
        <is>
          <t>FDE-2</t>
        </is>
      </c>
      <c r="G85" s="6" t="inlineStr">
        <is>
          <t>High</t>
        </is>
      </c>
      <c r="H85" s="6" t="inlineStr">
        <is>
          <t>Not Started</t>
        </is>
      </c>
      <c r="I85" s="7" t="n">
        <v>46249</v>
      </c>
      <c r="J85" s="7" t="n">
        <v>46249</v>
      </c>
      <c r="K85" s="7" t="n"/>
      <c r="L85" s="6" t="inlineStr">
        <is>
          <t>Prior day exit (D11); seat capacity</t>
        </is>
      </c>
      <c r="M85" s="6" t="inlineStr"/>
      <c r="N85" s="8" t="n">
        <v>0</v>
      </c>
      <c r="O85" s="6" t="inlineStr">
        <is>
          <t>FDE-4</t>
        </is>
      </c>
      <c r="P85" s="6" t="inlineStr">
        <is>
          <t>P9</t>
        </is>
      </c>
      <c r="Q85" s="6" t="inlineStr">
        <is>
          <t>owes G9</t>
        </is>
      </c>
      <c r="R85" s="6" t="inlineStr">
        <is>
          <t>Sign record: no boundary regression</t>
        </is>
      </c>
      <c r="S85" s="6" t="inlineStr"/>
      <c r="T85" s="6" t="inlineStr"/>
    </row>
    <row r="86" ht="78" customHeight="1">
      <c r="A86" s="3" t="inlineStr">
        <is>
          <t>D12</t>
        </is>
      </c>
      <c r="B86" s="3" t="inlineStr">
        <is>
          <t>P9 Hardening</t>
        </is>
      </c>
      <c r="C86" s="3" t="inlineStr">
        <is>
          <t>D12-T6</t>
        </is>
      </c>
      <c r="D86" s="3" t="inlineStr">
        <is>
          <t>Residual risk update for board</t>
        </is>
      </c>
      <c r="E86" s="3" t="inlineStr">
        <is>
          <t>What to implement: Residual risk update for board
Expected functionality: Refresh residual risk list for Readiness Board; acceptance pending board.
Important considerations: Work only under submission/; preserve immutable challenge evidence; Agents may be used only after G4 PASS; still no prohibited autonomy. FINAL ref §8.1 G9. Reviewer FDE-5 (author ≠ sole approver). Gate context: P9.
Expected output / completion criteria: Residual risk list current; acceptance pending board</t>
        </is>
      </c>
      <c r="F86" s="3" t="inlineStr">
        <is>
          <t>FDE-4</t>
        </is>
      </c>
      <c r="G86" s="3" t="inlineStr">
        <is>
          <t>High</t>
        </is>
      </c>
      <c r="H86" s="3" t="inlineStr">
        <is>
          <t>Not Started</t>
        </is>
      </c>
      <c r="I86" s="4" t="n">
        <v>46249</v>
      </c>
      <c r="J86" s="4" t="n">
        <v>46249</v>
      </c>
      <c r="K86" s="4" t="n"/>
      <c r="L86" s="3" t="inlineStr">
        <is>
          <t>Prior day exit (D11); seat capacity</t>
        </is>
      </c>
      <c r="M86" s="3" t="inlineStr"/>
      <c r="N86" s="5" t="n">
        <v>0</v>
      </c>
      <c r="O86" s="3" t="inlineStr">
        <is>
          <t>FDE-5</t>
        </is>
      </c>
      <c r="P86" s="3" t="inlineStr">
        <is>
          <t>P9</t>
        </is>
      </c>
      <c r="Q86" s="3" t="inlineStr">
        <is>
          <t>§8.1 G9</t>
        </is>
      </c>
      <c r="R86" s="3" t="inlineStr">
        <is>
          <t>Residual risk list current; acceptance pending board</t>
        </is>
      </c>
      <c r="S86" s="3" t="inlineStr"/>
      <c r="T86" s="3" t="inlineStr"/>
    </row>
    <row r="87" ht="78" customHeight="1">
      <c r="A87" s="6" t="inlineStr">
        <is>
          <t>D13</t>
        </is>
      </c>
      <c r="B87" s="6" t="inlineStr">
        <is>
          <t>P9 Readiness / G9</t>
        </is>
      </c>
      <c r="C87" s="6" t="inlineStr">
        <is>
          <t>D13-T1</t>
        </is>
      </c>
      <c r="D87" s="6" t="inlineStr">
        <is>
          <t>Chair Production Readiness Board (artefact 28)</t>
        </is>
      </c>
      <c r="E87" s="6" t="inlineStr">
        <is>
          <t>What to implement: Chair Production Readiness Board (artefact 28)
Expected functionality: Chair G9 board. Blockers=0 or No-Go. Minutes recorded. No prod-ready language without PASS.
Important considerations: Work only under submission/; preserve immutable challenge evidence; Agents may be used only after G4 PASS; still no prohibited autonomy. FINAL ref §8.1, §8.2 G9. Reviewer Board (all) (author ≠ sole approver). Gate context: G9.
Expected output / completion criteria: Blockers=0 or No-Go; minutes recorded</t>
        </is>
      </c>
      <c r="F87" s="6" t="inlineStr">
        <is>
          <t>FDE-4</t>
        </is>
      </c>
      <c r="G87" s="6" t="inlineStr">
        <is>
          <t>Critical</t>
        </is>
      </c>
      <c r="H87" s="6" t="inlineStr">
        <is>
          <t>Not Started</t>
        </is>
      </c>
      <c r="I87" s="7" t="n">
        <v>46250</v>
      </c>
      <c r="J87" s="7" t="n">
        <v>46250</v>
      </c>
      <c r="K87" s="7" t="n"/>
      <c r="L87" s="6" t="inlineStr">
        <is>
          <t>D12-T6; D12-T1</t>
        </is>
      </c>
      <c r="M87" s="6" t="inlineStr"/>
      <c r="N87" s="8" t="n">
        <v>0</v>
      </c>
      <c r="O87" s="6" t="inlineStr">
        <is>
          <t>Board (all)</t>
        </is>
      </c>
      <c r="P87" s="6" t="inlineStr">
        <is>
          <t>G9</t>
        </is>
      </c>
      <c r="Q87" s="6" t="inlineStr">
        <is>
          <t>§8.1, §8.2 G9</t>
        </is>
      </c>
      <c r="R87" s="6" t="inlineStr">
        <is>
          <t>Blockers=0 or No-Go; minutes recorded</t>
        </is>
      </c>
      <c r="S87" s="6" t="inlineStr"/>
      <c r="T87" s="6" t="inlineStr"/>
    </row>
    <row r="88" ht="78" customHeight="1">
      <c r="A88" s="3" t="inlineStr">
        <is>
          <t>D13</t>
        </is>
      </c>
      <c r="B88" s="3" t="inlineStr">
        <is>
          <t>P9 Readiness / G9</t>
        </is>
      </c>
      <c r="C88" s="3" t="inlineStr">
        <is>
          <t>D13-T2</t>
        </is>
      </c>
      <c r="D88" s="3" t="inlineStr">
        <is>
          <t>RC tag + manifest; clean-room on RC</t>
        </is>
      </c>
      <c r="E88" s="3" t="inlineStr">
        <is>
          <t>What to implement: RC tag + manifest; clean-room on RC
Expected functionality: Immutable RC tag + manifest. Repeat clean-room on RC extract.
Important considerations: Work only under submission/; preserve immutable challenge evidence; Agents may be used only after G4 PASS; still no prohibited autonomy. FINAL ref §8.1. Reviewer Outsider + FDE-5 (author ≠ sole approver). Gate context: G9.
Expected output / completion criteria: Tag immutable; RC clean-room PASS</t>
        </is>
      </c>
      <c r="F88" s="3" t="inlineStr">
        <is>
          <t>FDE-3</t>
        </is>
      </c>
      <c r="G88" s="3" t="inlineStr">
        <is>
          <t>Critical</t>
        </is>
      </c>
      <c r="H88" s="3" t="inlineStr">
        <is>
          <t>Not Started</t>
        </is>
      </c>
      <c r="I88" s="4" t="n">
        <v>46250</v>
      </c>
      <c r="J88" s="4" t="n">
        <v>46250</v>
      </c>
      <c r="K88" s="4" t="n"/>
      <c r="L88" s="3" t="inlineStr">
        <is>
          <t>D11-T1; D10-T5</t>
        </is>
      </c>
      <c r="M88" s="3" t="inlineStr"/>
      <c r="N88" s="5" t="n">
        <v>0</v>
      </c>
      <c r="O88" s="3" t="inlineStr">
        <is>
          <t>Outsider + FDE-5</t>
        </is>
      </c>
      <c r="P88" s="3" t="inlineStr">
        <is>
          <t>G9</t>
        </is>
      </c>
      <c r="Q88" s="3" t="inlineStr">
        <is>
          <t>§8.1</t>
        </is>
      </c>
      <c r="R88" s="3" t="inlineStr">
        <is>
          <t>Tag immutable; RC clean-room PASS</t>
        </is>
      </c>
      <c r="S88" s="3" t="inlineStr"/>
      <c r="T88" s="3" t="inlineStr"/>
    </row>
    <row r="89" ht="78" customHeight="1">
      <c r="A89" s="6" t="inlineStr">
        <is>
          <t>D13</t>
        </is>
      </c>
      <c r="B89" s="6" t="inlineStr">
        <is>
          <t>P9 Readiness / G9</t>
        </is>
      </c>
      <c r="C89" s="6" t="inlineStr">
        <is>
          <t>D13-T3</t>
        </is>
      </c>
      <c r="D89" s="6" t="inlineStr">
        <is>
          <t>Release decision sign; G9 minutes</t>
        </is>
      </c>
      <c r="E89" s="6" t="inlineStr">
        <is>
          <t>What to implement: Release decision sign; G9 minutes
Expected functionality: Signed go/no-go. If No-Go, no production-ready language in materials.
Important considerations: Work only under submission/; preserve immutable challenge evidence; Agents may be used only after G4 PASS; still no prohibited autonomy. FINAL ref §8.1. Reviewer FDE-4 (author ≠ sole approver). Gate context: G9.
Expected output / completion criteria: Signed go/no-go; no prod-ready language if No-Go</t>
        </is>
      </c>
      <c r="F89" s="6" t="inlineStr">
        <is>
          <t>FDE-1</t>
        </is>
      </c>
      <c r="G89" s="6" t="inlineStr">
        <is>
          <t>Critical</t>
        </is>
      </c>
      <c r="H89" s="6" t="inlineStr">
        <is>
          <t>Not Started</t>
        </is>
      </c>
      <c r="I89" s="7" t="n">
        <v>46250</v>
      </c>
      <c r="J89" s="7" t="n">
        <v>46250</v>
      </c>
      <c r="K89" s="7" t="n"/>
      <c r="L89" s="6" t="inlineStr">
        <is>
          <t>Prior day exit (D12); seat capacity</t>
        </is>
      </c>
      <c r="M89" s="6" t="inlineStr"/>
      <c r="N89" s="8" t="n">
        <v>0</v>
      </c>
      <c r="O89" s="6" t="inlineStr">
        <is>
          <t>FDE-4</t>
        </is>
      </c>
      <c r="P89" s="6" t="inlineStr">
        <is>
          <t>G9</t>
        </is>
      </c>
      <c r="Q89" s="6" t="inlineStr">
        <is>
          <t>§8.1</t>
        </is>
      </c>
      <c r="R89" s="6" t="inlineStr">
        <is>
          <t>Signed go/no-go; no prod-ready language if No-Go</t>
        </is>
      </c>
      <c r="S89" s="6" t="inlineStr"/>
      <c r="T89" s="6" t="inlineStr"/>
    </row>
    <row r="90" ht="78" customHeight="1">
      <c r="A90" s="3" t="inlineStr">
        <is>
          <t>D13</t>
        </is>
      </c>
      <c r="B90" s="3" t="inlineStr">
        <is>
          <t>P9 Readiness / G9</t>
        </is>
      </c>
      <c r="C90" s="3" t="inlineStr">
        <is>
          <t>D13-T4</t>
        </is>
      </c>
      <c r="D90" s="3" t="inlineStr">
        <is>
          <t>Security sign at G9</t>
        </is>
      </c>
      <c r="E90" s="3" t="inlineStr">
        <is>
          <t>What to implement: Security sign at G9
Expected functionality: Written security sign referencing RC retest evidence.
Important considerations: Work only under submission/; preserve immutable challenge evidence; Agents may be used only after G4 PASS; still no prohibited autonomy. FINAL ref §8.1. Reviewer FDE-4 (author ≠ sole approver). Gate context: G9.
Expected output / completion criteria: Written sec sign referencing RC retest</t>
        </is>
      </c>
      <c r="F90" s="3" t="inlineStr">
        <is>
          <t>FDE-5</t>
        </is>
      </c>
      <c r="G90" s="3" t="inlineStr">
        <is>
          <t>Critical</t>
        </is>
      </c>
      <c r="H90" s="3" t="inlineStr">
        <is>
          <t>Not Started</t>
        </is>
      </c>
      <c r="I90" s="4" t="n">
        <v>46250</v>
      </c>
      <c r="J90" s="4" t="n">
        <v>46250</v>
      </c>
      <c r="K90" s="4" t="n"/>
      <c r="L90" s="3" t="inlineStr">
        <is>
          <t>Prior day exit (D12); seat capacity</t>
        </is>
      </c>
      <c r="M90" s="3" t="inlineStr"/>
      <c r="N90" s="5" t="n">
        <v>0</v>
      </c>
      <c r="O90" s="3" t="inlineStr">
        <is>
          <t>FDE-4</t>
        </is>
      </c>
      <c r="P90" s="3" t="inlineStr">
        <is>
          <t>G9</t>
        </is>
      </c>
      <c r="Q90" s="3" t="inlineStr">
        <is>
          <t>§8.1</t>
        </is>
      </c>
      <c r="R90" s="3" t="inlineStr">
        <is>
          <t>Written sec sign referencing RC retest</t>
        </is>
      </c>
      <c r="S90" s="3" t="inlineStr"/>
      <c r="T90" s="3" t="inlineStr"/>
    </row>
    <row r="91" ht="78" customHeight="1">
      <c r="A91" s="6" t="inlineStr">
        <is>
          <t>D13</t>
        </is>
      </c>
      <c r="B91" s="6" t="inlineStr">
        <is>
          <t>P9 Readiness / G9</t>
        </is>
      </c>
      <c r="C91" s="6" t="inlineStr">
        <is>
          <t>D13-T5</t>
        </is>
      </c>
      <c r="D91" s="6" t="inlineStr">
        <is>
          <t>Domain sign at board</t>
        </is>
      </c>
      <c r="E91" s="6" t="inlineStr">
        <is>
          <t>What to implement: Domain sign at board
Expected functionality: Written domain sign for board that boundary obligations hold on RC.
Important considerations: Work only under submission/; preserve immutable challenge evidence; Agents may be used only after G4 PASS; still no prohibited autonomy. FINAL ref owes G9. Reviewer FDE-4 (author ≠ sole approver). Gate context: G9.
Expected output / completion criteria: Written domain sign</t>
        </is>
      </c>
      <c r="F91" s="6" t="inlineStr">
        <is>
          <t>FDE-2</t>
        </is>
      </c>
      <c r="G91" s="6" t="inlineStr">
        <is>
          <t>Critical</t>
        </is>
      </c>
      <c r="H91" s="6" t="inlineStr">
        <is>
          <t>Not Started</t>
        </is>
      </c>
      <c r="I91" s="7" t="n">
        <v>46250</v>
      </c>
      <c r="J91" s="7" t="n">
        <v>46250</v>
      </c>
      <c r="K91" s="7" t="n"/>
      <c r="L91" s="6" t="inlineStr">
        <is>
          <t>Prior day exit (D12); seat capacity</t>
        </is>
      </c>
      <c r="M91" s="6" t="inlineStr"/>
      <c r="N91" s="8" t="n">
        <v>0</v>
      </c>
      <c r="O91" s="6" t="inlineStr">
        <is>
          <t>FDE-4</t>
        </is>
      </c>
      <c r="P91" s="6" t="inlineStr">
        <is>
          <t>G9</t>
        </is>
      </c>
      <c r="Q91" s="6" t="inlineStr">
        <is>
          <t>owes G9</t>
        </is>
      </c>
      <c r="R91" s="6" t="inlineStr">
        <is>
          <t>Written domain sign</t>
        </is>
      </c>
      <c r="S91" s="6" t="inlineStr"/>
      <c r="T91" s="6" t="inlineStr"/>
    </row>
    <row r="92" ht="78" customHeight="1">
      <c r="A92" s="3" t="inlineStr">
        <is>
          <t>D14</t>
        </is>
      </c>
      <c r="B92" s="3" t="inlineStr">
        <is>
          <t>Buffer</t>
        </is>
      </c>
      <c r="C92" s="3" t="inlineStr">
        <is>
          <t>D14-T*</t>
        </is>
      </c>
      <c r="D92" s="3" t="inlineStr">
        <is>
          <t>Buffer / defect burn-down</t>
        </is>
      </c>
      <c r="E92" s="3" t="inlineStr">
        <is>
          <t>What to implement: Buffer / defect burn-down
Expected functionality: Close defects or defer with RAID. Keep defence pack stable. Optional Track A polish only.
Important considerations: Work only under submission/; preserve immutable challenge evidence; Agents may be used only after G4 PASS; still no prohibited autonomy. FINAL ref §5.4. Reviewer Stream backups (author ≠ sole approver). Gate context: Buffer.
Expected output / completion criteria: Defects closed or deferred with RAID; defence pack stable</t>
        </is>
      </c>
      <c r="F92" s="3" t="inlineStr">
        <is>
          <t>All</t>
        </is>
      </c>
      <c r="G92" s="3" t="inlineStr">
        <is>
          <t>Medium</t>
        </is>
      </c>
      <c r="H92" s="3" t="inlineStr">
        <is>
          <t>Not Started</t>
        </is>
      </c>
      <c r="I92" s="4" t="n">
        <v>46251</v>
      </c>
      <c r="J92" s="4" t="n">
        <v>46251</v>
      </c>
      <c r="K92" s="4" t="n"/>
      <c r="L92" s="3" t="inlineStr">
        <is>
          <t>Prior day exit (D13); seat capacity</t>
        </is>
      </c>
      <c r="M92" s="3" t="inlineStr"/>
      <c r="N92" s="5" t="n">
        <v>0</v>
      </c>
      <c r="O92" s="3" t="inlineStr">
        <is>
          <t>Stream backups</t>
        </is>
      </c>
      <c r="P92" s="3" t="inlineStr">
        <is>
          <t>Buffer</t>
        </is>
      </c>
      <c r="Q92" s="3" t="inlineStr">
        <is>
          <t>§5.4</t>
        </is>
      </c>
      <c r="R92" s="3" t="inlineStr">
        <is>
          <t>Defects closed or deferred with RAID; defence pack stable</t>
        </is>
      </c>
      <c r="S92" s="3" t="inlineStr"/>
      <c r="T92" s="3" t="inlineStr"/>
    </row>
  </sheetData>
  <autoFilter ref="A1:T92"/>
  <conditionalFormatting sqref="A2:T92">
    <cfRule type="expression" priority="1" dxfId="0">
      <formula>$H2="Blocked"</formula>
    </cfRule>
    <cfRule type="expression" priority="2" dxfId="1">
      <formula>AND($J2&lt;&gt;"",$J2&lt;TODAY(),$H2&lt;&gt;"Completed",$H2&lt;&gt;"On Hold")</formula>
    </cfRule>
  </conditionalFormatting>
  <dataValidations count="3">
    <dataValidation sqref="G2:G92" showDropDown="0" showInputMessage="0" showErrorMessage="0" allowBlank="0" type="list">
      <formula1>"Low,Medium,High,Critical"</formula1>
    </dataValidation>
    <dataValidation sqref="H2:H92" showDropDown="0" showInputMessage="0" showErrorMessage="0" allowBlank="0" type="list">
      <formula1>"Not Started,In Progress,Blocked,Completed,On Hold"</formula1>
    </dataValidation>
    <dataValidation sqref="S2:S92" showDropDown="0" showInputMessage="0" showErrorMessage="0" allowBlank="1" type="list">
      <formula1>"PASS,FAIL,CONDITIONAL,N/A"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9" t="inlineStr">
        <is>
          <t>Day</t>
        </is>
      </c>
      <c r="B1" s="9" t="inlineStr">
        <is>
          <t>Task count</t>
        </is>
      </c>
      <c r="C1" s="9" t="inlineStr">
        <is>
          <t>Not Started</t>
        </is>
      </c>
      <c r="D1" s="9" t="inlineStr">
        <is>
          <t>In Progress</t>
        </is>
      </c>
      <c r="E1" s="9" t="inlineStr">
        <is>
          <t>Blocked</t>
        </is>
      </c>
      <c r="F1" s="9" t="inlineStr">
        <is>
          <t>Completed</t>
        </is>
      </c>
      <c r="G1" s="9" t="inlineStr">
        <is>
          <t>On Hold</t>
        </is>
      </c>
      <c r="H1" s="9" t="inlineStr">
        <is>
          <t>Avg completion</t>
        </is>
      </c>
    </row>
    <row r="2">
      <c r="A2" t="inlineStr">
        <is>
          <t>D1</t>
        </is>
      </c>
      <c r="B2" t="n">
        <v>9</v>
      </c>
      <c r="C2">
        <f>COUNTIFS(Task_Tracker!A:A,A2,Task_Tracker!H:H,"Not Started")</f>
        <v/>
      </c>
      <c r="D2">
        <f>COUNTIFS(Task_Tracker!A:A,A2,Task_Tracker!H:H,"In Progress")</f>
        <v/>
      </c>
      <c r="E2">
        <f>COUNTIFS(Task_Tracker!A:A,A2,Task_Tracker!H:H,"Blocked")</f>
        <v/>
      </c>
      <c r="F2">
        <f>COUNTIFS(Task_Tracker!A:A,A2,Task_Tracker!H:H,"Completed")</f>
        <v/>
      </c>
      <c r="G2">
        <f>COUNTIFS(Task_Tracker!A:A,A2,Task_Tracker!H:H,"On Hold")</f>
        <v/>
      </c>
      <c r="H2" s="10">
        <f>IFERROR(AVERAGEIF(Task_Tracker!A:A,A2,Task_Tracker!N:N),0)</f>
        <v/>
      </c>
    </row>
    <row r="3">
      <c r="A3" t="inlineStr">
        <is>
          <t>D2</t>
        </is>
      </c>
      <c r="B3" t="n">
        <v>7</v>
      </c>
      <c r="C3">
        <f>COUNTIFS(Task_Tracker!A:A,A3,Task_Tracker!H:H,"Not Started")</f>
        <v/>
      </c>
      <c r="D3">
        <f>COUNTIFS(Task_Tracker!A:A,A3,Task_Tracker!H:H,"In Progress")</f>
        <v/>
      </c>
      <c r="E3">
        <f>COUNTIFS(Task_Tracker!A:A,A3,Task_Tracker!H:H,"Blocked")</f>
        <v/>
      </c>
      <c r="F3">
        <f>COUNTIFS(Task_Tracker!A:A,A3,Task_Tracker!H:H,"Completed")</f>
        <v/>
      </c>
      <c r="G3">
        <f>COUNTIFS(Task_Tracker!A:A,A3,Task_Tracker!H:H,"On Hold")</f>
        <v/>
      </c>
      <c r="H3" s="10">
        <f>IFERROR(AVERAGEIF(Task_Tracker!A:A,A3,Task_Tracker!N:N),0)</f>
        <v/>
      </c>
    </row>
    <row r="4">
      <c r="A4" t="inlineStr">
        <is>
          <t>D3</t>
        </is>
      </c>
      <c r="B4" t="n">
        <v>7</v>
      </c>
      <c r="C4">
        <f>COUNTIFS(Task_Tracker!A:A,A4,Task_Tracker!H:H,"Not Started")</f>
        <v/>
      </c>
      <c r="D4">
        <f>COUNTIFS(Task_Tracker!A:A,A4,Task_Tracker!H:H,"In Progress")</f>
        <v/>
      </c>
      <c r="E4">
        <f>COUNTIFS(Task_Tracker!A:A,A4,Task_Tracker!H:H,"Blocked")</f>
        <v/>
      </c>
      <c r="F4">
        <f>COUNTIFS(Task_Tracker!A:A,A4,Task_Tracker!H:H,"Completed")</f>
        <v/>
      </c>
      <c r="G4">
        <f>COUNTIFS(Task_Tracker!A:A,A4,Task_Tracker!H:H,"On Hold")</f>
        <v/>
      </c>
      <c r="H4" s="10">
        <f>IFERROR(AVERAGEIF(Task_Tracker!A:A,A4,Task_Tracker!N:N),0)</f>
        <v/>
      </c>
    </row>
    <row r="5">
      <c r="A5" t="inlineStr">
        <is>
          <t>D4</t>
        </is>
      </c>
      <c r="B5" t="n">
        <v>6</v>
      </c>
      <c r="C5">
        <f>COUNTIFS(Task_Tracker!A:A,A5,Task_Tracker!H:H,"Not Started")</f>
        <v/>
      </c>
      <c r="D5">
        <f>COUNTIFS(Task_Tracker!A:A,A5,Task_Tracker!H:H,"In Progress")</f>
        <v/>
      </c>
      <c r="E5">
        <f>COUNTIFS(Task_Tracker!A:A,A5,Task_Tracker!H:H,"Blocked")</f>
        <v/>
      </c>
      <c r="F5">
        <f>COUNTIFS(Task_Tracker!A:A,A5,Task_Tracker!H:H,"Completed")</f>
        <v/>
      </c>
      <c r="G5">
        <f>COUNTIFS(Task_Tracker!A:A,A5,Task_Tracker!H:H,"On Hold")</f>
        <v/>
      </c>
      <c r="H5" s="10">
        <f>IFERROR(AVERAGEIF(Task_Tracker!A:A,A5,Task_Tracker!N:N),0)</f>
        <v/>
      </c>
    </row>
    <row r="6">
      <c r="A6" t="inlineStr">
        <is>
          <t>D5</t>
        </is>
      </c>
      <c r="B6" t="n">
        <v>9</v>
      </c>
      <c r="C6">
        <f>COUNTIFS(Task_Tracker!A:A,A6,Task_Tracker!H:H,"Not Started")</f>
        <v/>
      </c>
      <c r="D6">
        <f>COUNTIFS(Task_Tracker!A:A,A6,Task_Tracker!H:H,"In Progress")</f>
        <v/>
      </c>
      <c r="E6">
        <f>COUNTIFS(Task_Tracker!A:A,A6,Task_Tracker!H:H,"Blocked")</f>
        <v/>
      </c>
      <c r="F6">
        <f>COUNTIFS(Task_Tracker!A:A,A6,Task_Tracker!H:H,"Completed")</f>
        <v/>
      </c>
      <c r="G6">
        <f>COUNTIFS(Task_Tracker!A:A,A6,Task_Tracker!H:H,"On Hold")</f>
        <v/>
      </c>
      <c r="H6" s="10">
        <f>IFERROR(AVERAGEIF(Task_Tracker!A:A,A6,Task_Tracker!N:N),0)</f>
        <v/>
      </c>
    </row>
    <row r="7">
      <c r="A7" t="inlineStr">
        <is>
          <t>D6</t>
        </is>
      </c>
      <c r="B7" t="n">
        <v>7</v>
      </c>
      <c r="C7">
        <f>COUNTIFS(Task_Tracker!A:A,A7,Task_Tracker!H:H,"Not Started")</f>
        <v/>
      </c>
      <c r="D7">
        <f>COUNTIFS(Task_Tracker!A:A,A7,Task_Tracker!H:H,"In Progress")</f>
        <v/>
      </c>
      <c r="E7">
        <f>COUNTIFS(Task_Tracker!A:A,A7,Task_Tracker!H:H,"Blocked")</f>
        <v/>
      </c>
      <c r="F7">
        <f>COUNTIFS(Task_Tracker!A:A,A7,Task_Tracker!H:H,"Completed")</f>
        <v/>
      </c>
      <c r="G7">
        <f>COUNTIFS(Task_Tracker!A:A,A7,Task_Tracker!H:H,"On Hold")</f>
        <v/>
      </c>
      <c r="H7" s="10">
        <f>IFERROR(AVERAGEIF(Task_Tracker!A:A,A7,Task_Tracker!N:N),0)</f>
        <v/>
      </c>
    </row>
    <row r="8">
      <c r="A8" t="inlineStr">
        <is>
          <t>D7</t>
        </is>
      </c>
      <c r="B8" t="n">
        <v>6</v>
      </c>
      <c r="C8">
        <f>COUNTIFS(Task_Tracker!A:A,A8,Task_Tracker!H:H,"Not Started")</f>
        <v/>
      </c>
      <c r="D8">
        <f>COUNTIFS(Task_Tracker!A:A,A8,Task_Tracker!H:H,"In Progress")</f>
        <v/>
      </c>
      <c r="E8">
        <f>COUNTIFS(Task_Tracker!A:A,A8,Task_Tracker!H:H,"Blocked")</f>
        <v/>
      </c>
      <c r="F8">
        <f>COUNTIFS(Task_Tracker!A:A,A8,Task_Tracker!H:H,"Completed")</f>
        <v/>
      </c>
      <c r="G8">
        <f>COUNTIFS(Task_Tracker!A:A,A8,Task_Tracker!H:H,"On Hold")</f>
        <v/>
      </c>
      <c r="H8" s="10">
        <f>IFERROR(AVERAGEIF(Task_Tracker!A:A,A8,Task_Tracker!N:N),0)</f>
        <v/>
      </c>
    </row>
    <row r="9">
      <c r="A9" t="inlineStr">
        <is>
          <t>D8</t>
        </is>
      </c>
      <c r="B9" t="n">
        <v>8</v>
      </c>
      <c r="C9">
        <f>COUNTIFS(Task_Tracker!A:A,A9,Task_Tracker!H:H,"Not Started")</f>
        <v/>
      </c>
      <c r="D9">
        <f>COUNTIFS(Task_Tracker!A:A,A9,Task_Tracker!H:H,"In Progress")</f>
        <v/>
      </c>
      <c r="E9">
        <f>COUNTIFS(Task_Tracker!A:A,A9,Task_Tracker!H:H,"Blocked")</f>
        <v/>
      </c>
      <c r="F9">
        <f>COUNTIFS(Task_Tracker!A:A,A9,Task_Tracker!H:H,"Completed")</f>
        <v/>
      </c>
      <c r="G9">
        <f>COUNTIFS(Task_Tracker!A:A,A9,Task_Tracker!H:H,"On Hold")</f>
        <v/>
      </c>
      <c r="H9" s="10">
        <f>IFERROR(AVERAGEIF(Task_Tracker!A:A,A9,Task_Tracker!N:N),0)</f>
        <v/>
      </c>
    </row>
    <row r="10">
      <c r="A10" t="inlineStr">
        <is>
          <t>D9</t>
        </is>
      </c>
      <c r="B10" t="n">
        <v>6</v>
      </c>
      <c r="C10">
        <f>COUNTIFS(Task_Tracker!A:A,A10,Task_Tracker!H:H,"Not Started")</f>
        <v/>
      </c>
      <c r="D10">
        <f>COUNTIFS(Task_Tracker!A:A,A10,Task_Tracker!H:H,"In Progress")</f>
        <v/>
      </c>
      <c r="E10">
        <f>COUNTIFS(Task_Tracker!A:A,A10,Task_Tracker!H:H,"Blocked")</f>
        <v/>
      </c>
      <c r="F10">
        <f>COUNTIFS(Task_Tracker!A:A,A10,Task_Tracker!H:H,"Completed")</f>
        <v/>
      </c>
      <c r="G10">
        <f>COUNTIFS(Task_Tracker!A:A,A10,Task_Tracker!H:H,"On Hold")</f>
        <v/>
      </c>
      <c r="H10" s="10">
        <f>IFERROR(AVERAGEIF(Task_Tracker!A:A,A10,Task_Tracker!N:N),0)</f>
        <v/>
      </c>
    </row>
    <row r="11">
      <c r="A11" t="inlineStr">
        <is>
          <t>D10</t>
        </is>
      </c>
      <c r="B11" t="n">
        <v>9</v>
      </c>
      <c r="C11">
        <f>COUNTIFS(Task_Tracker!A:A,A11,Task_Tracker!H:H,"Not Started")</f>
        <v/>
      </c>
      <c r="D11">
        <f>COUNTIFS(Task_Tracker!A:A,A11,Task_Tracker!H:H,"In Progress")</f>
        <v/>
      </c>
      <c r="E11">
        <f>COUNTIFS(Task_Tracker!A:A,A11,Task_Tracker!H:H,"Blocked")</f>
        <v/>
      </c>
      <c r="F11">
        <f>COUNTIFS(Task_Tracker!A:A,A11,Task_Tracker!H:H,"Completed")</f>
        <v/>
      </c>
      <c r="G11">
        <f>COUNTIFS(Task_Tracker!A:A,A11,Task_Tracker!H:H,"On Hold")</f>
        <v/>
      </c>
      <c r="H11" s="10">
        <f>IFERROR(AVERAGEIF(Task_Tracker!A:A,A11,Task_Tracker!N:N),0)</f>
        <v/>
      </c>
    </row>
    <row r="12">
      <c r="A12" t="inlineStr">
        <is>
          <t>D11</t>
        </is>
      </c>
      <c r="B12" t="n">
        <v>5</v>
      </c>
      <c r="C12">
        <f>COUNTIFS(Task_Tracker!A:A,A12,Task_Tracker!H:H,"Not Started")</f>
        <v/>
      </c>
      <c r="D12">
        <f>COUNTIFS(Task_Tracker!A:A,A12,Task_Tracker!H:H,"In Progress")</f>
        <v/>
      </c>
      <c r="E12">
        <f>COUNTIFS(Task_Tracker!A:A,A12,Task_Tracker!H:H,"Blocked")</f>
        <v/>
      </c>
      <c r="F12">
        <f>COUNTIFS(Task_Tracker!A:A,A12,Task_Tracker!H:H,"Completed")</f>
        <v/>
      </c>
      <c r="G12">
        <f>COUNTIFS(Task_Tracker!A:A,A12,Task_Tracker!H:H,"On Hold")</f>
        <v/>
      </c>
      <c r="H12" s="10">
        <f>IFERROR(AVERAGEIF(Task_Tracker!A:A,A12,Task_Tracker!N:N),0)</f>
        <v/>
      </c>
    </row>
    <row r="13">
      <c r="A13" t="inlineStr">
        <is>
          <t>D12</t>
        </is>
      </c>
      <c r="B13" t="n">
        <v>6</v>
      </c>
      <c r="C13">
        <f>COUNTIFS(Task_Tracker!A:A,A13,Task_Tracker!H:H,"Not Started")</f>
        <v/>
      </c>
      <c r="D13">
        <f>COUNTIFS(Task_Tracker!A:A,A13,Task_Tracker!H:H,"In Progress")</f>
        <v/>
      </c>
      <c r="E13">
        <f>COUNTIFS(Task_Tracker!A:A,A13,Task_Tracker!H:H,"Blocked")</f>
        <v/>
      </c>
      <c r="F13">
        <f>COUNTIFS(Task_Tracker!A:A,A13,Task_Tracker!H:H,"Completed")</f>
        <v/>
      </c>
      <c r="G13">
        <f>COUNTIFS(Task_Tracker!A:A,A13,Task_Tracker!H:H,"On Hold")</f>
        <v/>
      </c>
      <c r="H13" s="10">
        <f>IFERROR(AVERAGEIF(Task_Tracker!A:A,A13,Task_Tracker!N:N),0)</f>
        <v/>
      </c>
    </row>
    <row r="14">
      <c r="A14" t="inlineStr">
        <is>
          <t>D13</t>
        </is>
      </c>
      <c r="B14" t="n">
        <v>5</v>
      </c>
      <c r="C14">
        <f>COUNTIFS(Task_Tracker!A:A,A14,Task_Tracker!H:H,"Not Started")</f>
        <v/>
      </c>
      <c r="D14">
        <f>COUNTIFS(Task_Tracker!A:A,A14,Task_Tracker!H:H,"In Progress")</f>
        <v/>
      </c>
      <c r="E14">
        <f>COUNTIFS(Task_Tracker!A:A,A14,Task_Tracker!H:H,"Blocked")</f>
        <v/>
      </c>
      <c r="F14">
        <f>COUNTIFS(Task_Tracker!A:A,A14,Task_Tracker!H:H,"Completed")</f>
        <v/>
      </c>
      <c r="G14">
        <f>COUNTIFS(Task_Tracker!A:A,A14,Task_Tracker!H:H,"On Hold")</f>
        <v/>
      </c>
      <c r="H14" s="10">
        <f>IFERROR(AVERAGEIF(Task_Tracker!A:A,A14,Task_Tracker!N:N),0)</f>
        <v/>
      </c>
    </row>
    <row r="15">
      <c r="A15" t="inlineStr">
        <is>
          <t>D14</t>
        </is>
      </c>
      <c r="B15" t="n">
        <v>1</v>
      </c>
      <c r="C15">
        <f>COUNTIFS(Task_Tracker!A:A,A15,Task_Tracker!H:H,"Not Started")</f>
        <v/>
      </c>
      <c r="D15">
        <f>COUNTIFS(Task_Tracker!A:A,A15,Task_Tracker!H:H,"In Progress")</f>
        <v/>
      </c>
      <c r="E15">
        <f>COUNTIFS(Task_Tracker!A:A,A15,Task_Tracker!H:H,"Blocked")</f>
        <v/>
      </c>
      <c r="F15">
        <f>COUNTIFS(Task_Tracker!A:A,A15,Task_Tracker!H:H,"Completed")</f>
        <v/>
      </c>
      <c r="G15">
        <f>COUNTIFS(Task_Tracker!A:A,A15,Task_Tracker!H:H,"On Hold")</f>
        <v/>
      </c>
      <c r="H15" s="10">
        <f>IFERROR(AVERAGEIF(Task_Tracker!A:A,A15,Task_Tracker!N:N),0)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48" customWidth="1" min="3" max="3"/>
    <col width="20" customWidth="1" min="4" max="4"/>
    <col width="50" customWidth="1" min="5" max="5"/>
    <col width="14" customWidth="1" min="6" max="6"/>
    <col width="28" customWidth="1" min="7" max="7"/>
  </cols>
  <sheetData>
    <row r="1">
      <c r="A1" s="11" t="inlineStr">
        <is>
          <t>Gate</t>
        </is>
      </c>
      <c r="B1" s="11" t="inlineStr">
        <is>
          <t>Day</t>
        </is>
      </c>
      <c r="C1" s="11" t="inlineStr">
        <is>
          <t>Evaluation question</t>
        </is>
      </c>
      <c r="D1" s="11" t="inlineStr">
        <is>
          <t>Reviewers</t>
        </is>
      </c>
      <c r="E1" s="11" t="inlineStr">
        <is>
          <t>Pass criteria</t>
        </is>
      </c>
      <c r="F1" s="11" t="inlineStr">
        <is>
          <t>Gate result</t>
        </is>
      </c>
      <c r="G1" s="11" t="inlineStr">
        <is>
          <t>Notes</t>
        </is>
      </c>
    </row>
    <row r="2">
      <c r="A2" s="6" t="inlineStr">
        <is>
          <t>Preflight</t>
        </is>
      </c>
      <c r="B2" s="6" t="inlineStr">
        <is>
          <t>D1</t>
        </is>
      </c>
      <c r="C2" s="6" t="inlineStr">
        <is>
          <t>Package integrity baseline + team ready?</t>
        </is>
      </c>
      <c r="D2" s="6" t="inlineStr">
        <is>
          <t>Full team</t>
        </is>
      </c>
      <c r="E2" s="6" t="inlineStr">
        <is>
          <t>Hour-0 PASS archived; seats named; FINAL ratified; --scaffold PASS</t>
        </is>
      </c>
    </row>
    <row r="3">
      <c r="A3" s="6" t="inlineStr">
        <is>
          <t>G1</t>
        </is>
      </c>
      <c r="B3" s="6" t="inlineStr">
        <is>
          <t>D2</t>
        </is>
      </c>
      <c r="C3" s="6" t="inlineStr">
        <is>
          <t>Problem measurable; no-AI honest; NFRs locked?</t>
        </is>
      </c>
      <c r="D3" s="6" t="inlineStr">
        <is>
          <t>FDE-4 + FDE-5</t>
        </is>
      </c>
      <c r="E3" s="6" t="inlineStr">
        <is>
          <t>01–04 drafted with citations; no-AI table present; NFR table locked; stop/pivot stated</t>
        </is>
      </c>
    </row>
    <row r="4">
      <c r="A4" s="6" t="inlineStr">
        <is>
          <t>G2</t>
        </is>
      </c>
      <c r="B4" s="6" t="inlineStr">
        <is>
          <t>D4</t>
        </is>
      </c>
      <c r="C4" s="6" t="inlineStr">
        <is>
          <t>Conflicts tracked not silently resolved; inject register real?</t>
        </is>
      </c>
      <c r="D4" s="6" t="inlineStr">
        <is>
          <t>FDE-1 + FDE-4</t>
        </is>
      </c>
      <c r="E4" s="6" t="inlineStr">
        <is>
          <t>Conflict list exists; register 84 rows ≠ silent delete; no cleaned units/IDs</t>
        </is>
      </c>
    </row>
    <row r="5">
      <c r="A5" s="6" t="inlineStr">
        <is>
          <t>G3</t>
        </is>
      </c>
      <c r="B5" s="6" t="inlineStr">
        <is>
          <t>D5</t>
        </is>
      </c>
      <c r="C5" s="6" t="inlineStr">
        <is>
          <t>Prohibited actions outside executable boundary?</t>
        </is>
      </c>
      <c r="D5" s="6" t="inlineStr">
        <is>
          <t>FDE-2 + FDE-5</t>
        </is>
      </c>
      <c r="E5" s="6" t="inlineStr">
        <is>
          <t>test_contracts 3+/3−; design forbids disposition/reportability/side effects</t>
        </is>
      </c>
    </row>
    <row r="6">
      <c r="A6" s="6" t="inlineStr">
        <is>
          <t>G4</t>
        </is>
      </c>
      <c r="B6" s="6" t="inlineStr">
        <is>
          <t>D7</t>
        </is>
      </c>
      <c r="C6" s="6" t="inlineStr">
        <is>
          <t>Threat/privacy/ISO controls + failing prohibited tests exist?</t>
        </is>
      </c>
      <c r="D6" s="6" t="inlineStr">
        <is>
          <t>FDE-1 + FDE-3</t>
        </is>
      </c>
      <c r="E6" s="6" t="inlineStr">
        <is>
          <t>16–21 drafted; prohibited/stale-auth tests fail for right reason before WF code</t>
        </is>
      </c>
    </row>
    <row r="7">
      <c r="A7" s="6" t="inlineStr">
        <is>
          <t>G5</t>
        </is>
      </c>
      <c r="B7" s="6" t="inlineStr">
        <is>
          <t>D9</t>
        </is>
      </c>
      <c r="C7" s="6" t="inlineStr">
        <is>
          <t>Three workflows run offline against fixtures?</t>
        </is>
      </c>
      <c r="D7" s="6" t="inlineStr">
        <is>
          <t>FDE-1 + FDE-4</t>
        </is>
      </c>
      <c r="E7" s="6" t="inlineStr">
        <is>
          <t>A/B/C offline; schema-valid; demo happy + abstain; AI-disabled path shown</t>
        </is>
      </c>
    </row>
    <row r="8">
      <c r="A8" s="6" t="inlineStr">
        <is>
          <t>G6</t>
        </is>
      </c>
      <c r="B8" s="6" t="inlineStr">
        <is>
          <t>D10</t>
        </is>
      </c>
      <c r="C8" s="6" t="inlineStr">
        <is>
          <t>Red-team / outage / cost gates fail closed as designed?</t>
        </is>
      </c>
      <c r="D8" s="6" t="inlineStr">
        <is>
          <t>FDE-2 + FDE-3</t>
        </is>
      </c>
      <c r="E8" s="6" t="inlineStr">
        <is>
          <t>Suites evidence; failed-gate demo; thresholds pre-committed</t>
        </is>
      </c>
    </row>
    <row r="9">
      <c r="A9" s="6" t="inlineStr">
        <is>
          <t>G7</t>
        </is>
      </c>
      <c r="B9" s="6" t="inlineStr">
        <is>
          <t>D10</t>
        </is>
      </c>
      <c r="C9" s="6" t="inlineStr">
        <is>
          <t>Clean-room + --final + hash --check?</t>
        </is>
      </c>
      <c r="D9" s="6" t="inlineStr">
        <is>
          <t>Full team + outsider</t>
        </is>
      </c>
      <c r="E9" s="6" t="inlineStr">
        <is>
          <t>Clean extract succeeds; hashes match; --final PASS</t>
        </is>
      </c>
    </row>
    <row r="10">
      <c r="A10" s="6" t="inlineStr">
        <is>
          <t>G8</t>
        </is>
      </c>
      <c r="B10" s="6" t="inlineStr">
        <is>
          <t>D10</t>
        </is>
      </c>
      <c r="C10" s="6" t="inlineStr">
        <is>
          <t>13 defence elements rehearsed; recommendation clear?</t>
        </is>
      </c>
      <c r="D10" s="6" t="inlineStr">
        <is>
          <t>Full team</t>
        </is>
      </c>
      <c r="E10" s="6" t="inlineStr">
        <is>
          <t>Presenters named; go/conditional/pivot/pause/stop recorded</t>
        </is>
      </c>
    </row>
    <row r="11">
      <c r="A11" s="6" t="inlineStr">
        <is>
          <t>G9</t>
        </is>
      </c>
      <c r="B11" s="6" t="inlineStr">
        <is>
          <t>D13</t>
        </is>
      </c>
      <c r="C11" s="6" t="inlineStr">
        <is>
          <t>Readiness Board; Blockers=0; RC clean-room?</t>
        </is>
      </c>
      <c r="D11" s="6" t="inlineStr">
        <is>
          <t>FDE-4 chairs</t>
        </is>
      </c>
      <c r="E11" s="6" t="inlineStr">
        <is>
          <t>28 complete; hard gates on RC; RC clean-room; P1/P4/P5 signs</t>
        </is>
      </c>
    </row>
  </sheetData>
  <autoFilter ref="A1:G11"/>
  <dataValidations count="1">
    <dataValidation sqref="F2:F11" showDropDown="0" showInputMessage="0" showErrorMessage="0" allowBlank="1" type="list">
      <formula1>"PASS,FAIL,CONDITIONAL,N/A"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2026-08-04T05:33:26Z</dcterms:created>
  <dcterms:modified xmlns:dcterms="http://purl.org/dc/terms/" xmlns:xsi="http://www.w3.org/2001/XMLSchema-instance" xsi:type="dcterms:W3CDTF">2026-08-04T05:33:26Z</dcterms:modified>
</cp:coreProperties>
</file>